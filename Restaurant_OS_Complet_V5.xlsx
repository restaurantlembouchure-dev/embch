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UTILISATEURS" sheetId="2" state="visible" r:id="rId2"/>
    <sheet xmlns:r="http://schemas.openxmlformats.org/officeDocument/2006/relationships" name="PARAMETRES" sheetId="3" state="visible" r:id="rId3"/>
    <sheet xmlns:r="http://schemas.openxmlformats.org/officeDocument/2006/relationships" name="PREVISION_SERVICE" sheetId="4" state="visible" r:id="rId4"/>
    <sheet xmlns:r="http://schemas.openxmlformats.org/officeDocument/2006/relationships" name="RATIOS_INITIAUX" sheetId="5" state="visible" r:id="rId5"/>
    <sheet xmlns:r="http://schemas.openxmlformats.org/officeDocument/2006/relationships" name="VENTES_REELLES" sheetId="6" state="visible" r:id="rId6"/>
    <sheet xmlns:r="http://schemas.openxmlformats.org/officeDocument/2006/relationships" name="ANALYSE" sheetId="7" state="visible" r:id="rId7"/>
    <sheet xmlns:r="http://schemas.openxmlformats.org/officeDocument/2006/relationships" name="MISE_EN_PLACE" sheetId="8" state="visible" r:id="rId8"/>
    <sheet xmlns:r="http://schemas.openxmlformats.org/officeDocument/2006/relationships" name="RUPTURES" sheetId="9" state="visible" r:id="rId9"/>
    <sheet xmlns:r="http://schemas.openxmlformats.org/officeDocument/2006/relationships" name="PERTES" sheetId="10" state="visible" r:id="rId10"/>
    <sheet xmlns:r="http://schemas.openxmlformats.org/officeDocument/2006/relationships" name="VALIDATIONS" sheetId="11" state="visible" r:id="rId11"/>
    <sheet xmlns:r="http://schemas.openxmlformats.org/officeDocument/2006/relationships" name="STOCK_PRODUITS" sheetId="12" state="visible" r:id="rId12"/>
    <sheet xmlns:r="http://schemas.openxmlformats.org/officeDocument/2006/relationships" name="COMMANDE_AUTO" sheetId="13" state="visible" r:id="rId13"/>
    <sheet xmlns:r="http://schemas.openxmlformats.org/officeDocument/2006/relationships" name="CHECKLISTS" sheetId="14" state="visible" r:id="rId14"/>
    <sheet xmlns:r="http://schemas.openxmlformats.org/officeDocument/2006/relationships" name="ADMIN_DASHBOARD" sheetId="15" state="visible" r:id="rId15"/>
    <sheet xmlns:r="http://schemas.openxmlformats.org/officeDocument/2006/relationships" name="PHOTO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PACK RESTAURANT OS - INSTALLATION ET UTILISATION</t>
        </is>
      </c>
    </row>
    <row r="3">
      <c r="A3" t="inlineStr">
        <is>
          <t>1. Remplir PREVISION_SERVICE avec les couverts prévus par date et service.</t>
        </is>
      </c>
    </row>
    <row r="4">
      <c r="A4" t="inlineStr">
        <is>
          <t>2. Remplir UTILISATEURS avec les PIN salariés.</t>
        </is>
      </c>
    </row>
    <row r="5">
      <c r="A5" t="inlineStr">
        <is>
          <t>3. Importer ce fichier dans Google Sheets.</t>
        </is>
      </c>
    </row>
    <row r="6">
      <c r="A6" t="inlineStr">
        <is>
          <t>4. Ouvrir Extensions &gt; Apps Script, puis coller le contenu du fichier APPS_SCRIPT.gs du pack.</t>
        </is>
      </c>
    </row>
    <row r="7">
      <c r="A7" t="inlineStr">
        <is>
          <t>5. Déployer le script en Web App, accès : Toute personne disposant du lien.</t>
        </is>
      </c>
    </row>
    <row r="8">
      <c r="A8" t="inlineStr">
        <is>
          <t>6. Copier l'URL du Web App dans public/config.js à la ligne APPS_SCRIPT_URL.</t>
        </is>
      </c>
    </row>
    <row r="9">
      <c r="A9" t="inlineStr">
        <is>
          <t>7. Mettre le dossier public en ligne (GitHub Pages, Netlify, etc.).</t>
        </is>
      </c>
    </row>
    <row r="10">
      <c r="A10" t="inlineStr">
        <is>
          <t>8. Installer sur iOS via Safari &gt; Partager &gt; Ajouter à l'écran d'accueil.</t>
        </is>
      </c>
    </row>
    <row r="11">
      <c r="A11" t="inlineStr">
        <is>
          <t>9. Installer sur Android via Chrome &gt; Ajouter à l'écran d'accueil.</t>
        </is>
      </c>
    </row>
    <row r="12">
      <c r="A12" t="inlineStr">
        <is>
          <t>10. Utiliser les formulaires Ruptures et Pertes pour alimenter automatiquement COMMANDE_AUTO.</t>
        </is>
      </c>
    </row>
    <row r="15">
      <c r="A15" s="2" t="inlineStr">
        <is>
          <t>Fonctionnalités incluses :</t>
        </is>
      </c>
    </row>
    <row r="16">
      <c r="A16" t="inlineStr">
        <is>
          <t>- V1 : Connexion PIN, checklist, validation, email, ruptures</t>
        </is>
      </c>
    </row>
    <row r="17">
      <c r="A17" t="inlineStr">
        <is>
          <t>- V2 : Prévision service, MEP dynamique, commande auto</t>
        </is>
      </c>
    </row>
    <row r="18">
      <c r="A18" t="inlineStr">
        <is>
          <t>- V3 : Ventes réelles, analyse, ajustement automatique des ratios</t>
        </is>
      </c>
    </row>
    <row r="19">
      <c r="A19" t="inlineStr">
        <is>
          <t>- V4 : Pertes de produits déjà préparés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0" customWidth="1" min="4" max="4"/>
    <col width="28" customWidth="1" min="5" max="5"/>
    <col width="14" customWidth="1" min="6" max="6"/>
    <col width="16" customWidth="1" min="7" max="7"/>
  </cols>
  <sheetData>
    <row r="1">
      <c r="A1" s="3" t="inlineStr">
        <is>
          <t>Actif</t>
        </is>
      </c>
      <c r="B1" s="3" t="inlineStr">
        <is>
          <t>Nom</t>
        </is>
      </c>
      <c r="C1" s="3" t="inlineStr">
        <is>
          <t>Rôle</t>
        </is>
      </c>
      <c r="D1" s="3" t="inlineStr">
        <is>
          <t>PIN</t>
        </is>
      </c>
      <c r="E1" s="3" t="inlineStr">
        <is>
          <t>Email validation</t>
        </is>
      </c>
      <c r="F1" s="3" t="inlineStr">
        <is>
          <t>Peut valider</t>
        </is>
      </c>
      <c r="G1" s="3" t="inlineStr">
        <is>
          <t>Peut voir admin</t>
        </is>
      </c>
    </row>
    <row r="2">
      <c r="A2" t="inlineStr">
        <is>
          <t>Oui</t>
        </is>
      </c>
      <c r="B2" t="inlineStr">
        <is>
          <t>Christelle</t>
        </is>
      </c>
      <c r="C2" t="inlineStr">
        <is>
          <t>Cuisine</t>
        </is>
      </c>
      <c r="D2" t="inlineStr">
        <is>
          <t>1111</t>
        </is>
      </c>
      <c r="E2" t="inlineStr">
        <is>
          <t>johndrelin@gmail.com</t>
        </is>
      </c>
      <c r="F2" t="inlineStr">
        <is>
          <t>Oui</t>
        </is>
      </c>
      <c r="G2" t="inlineStr">
        <is>
          <t>Non</t>
        </is>
      </c>
    </row>
    <row r="3">
      <c r="A3" t="inlineStr">
        <is>
          <t>Oui</t>
        </is>
      </c>
      <c r="B3" t="inlineStr">
        <is>
          <t>Ludovic</t>
        </is>
      </c>
      <c r="C3" t="inlineStr">
        <is>
          <t>Chef</t>
        </is>
      </c>
      <c r="D3" t="inlineStr">
        <is>
          <t>2222</t>
        </is>
      </c>
      <c r="E3" t="inlineStr">
        <is>
          <t>johndrelin@gmail.com</t>
        </is>
      </c>
      <c r="F3" t="inlineStr">
        <is>
          <t>Oui</t>
        </is>
      </c>
      <c r="G3" t="inlineStr">
        <is>
          <t>Non</t>
        </is>
      </c>
    </row>
    <row r="4">
      <c r="A4" t="inlineStr">
        <is>
          <t>Oui</t>
        </is>
      </c>
      <c r="B4" t="inlineStr">
        <is>
          <t>Lesli</t>
        </is>
      </c>
      <c r="C4" t="inlineStr">
        <is>
          <t>Support</t>
        </is>
      </c>
      <c r="D4" t="inlineStr">
        <is>
          <t>3333</t>
        </is>
      </c>
      <c r="E4" t="inlineStr">
        <is>
          <t>johndrelin@gmail.com</t>
        </is>
      </c>
      <c r="F4" t="inlineStr">
        <is>
          <t>Oui</t>
        </is>
      </c>
      <c r="G4" t="inlineStr">
        <is>
          <t>Non</t>
        </is>
      </c>
    </row>
    <row r="5">
      <c r="A5" t="inlineStr">
        <is>
          <t>Oui</t>
        </is>
      </c>
      <c r="B5" t="inlineStr">
        <is>
          <t>Admin</t>
        </is>
      </c>
      <c r="C5" t="inlineStr">
        <is>
          <t>Admin</t>
        </is>
      </c>
      <c r="D5" t="inlineStr">
        <is>
          <t>9999</t>
        </is>
      </c>
      <c r="E5" t="inlineStr">
        <is>
          <t>johndrelin@gmail.com</t>
        </is>
      </c>
      <c r="F5" t="inlineStr">
        <is>
          <t>Oui</t>
        </is>
      </c>
      <c r="G5" t="inlineStr">
        <is>
          <t>Oui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2" customWidth="1" min="3" max="3"/>
  </cols>
  <sheetData>
    <row r="1">
      <c r="A1" s="3" t="inlineStr">
        <is>
          <t>Clé</t>
        </is>
      </c>
      <c r="B1" s="3" t="inlineStr">
        <is>
          <t>Valeur</t>
        </is>
      </c>
      <c r="C1" s="3" t="inlineStr">
        <is>
          <t>Commentaire</t>
        </is>
      </c>
    </row>
    <row r="2">
      <c r="A2" t="inlineStr">
        <is>
          <t>Nom_restaurant</t>
        </is>
      </c>
      <c r="B2" t="inlineStr">
        <is>
          <t>L'Embouchure</t>
        </is>
      </c>
      <c r="C2" t="inlineStr">
        <is>
          <t>Nom affiché dans l'app</t>
        </is>
      </c>
    </row>
    <row r="3">
      <c r="A3" t="inlineStr">
        <is>
          <t>Email_manager</t>
        </is>
      </c>
      <c r="B3" t="inlineStr">
        <is>
          <t>johndrelin@gmail.com</t>
        </is>
      </c>
      <c r="C3" t="inlineStr">
        <is>
          <t>Réception des validations</t>
        </is>
      </c>
    </row>
    <row r="4">
      <c r="A4" t="inlineStr">
        <is>
          <t>Heure_debut_midi</t>
        </is>
      </c>
      <c r="B4" t="inlineStr">
        <is>
          <t>08:00</t>
        </is>
      </c>
      <c r="C4" t="inlineStr">
        <is>
          <t>Détection automatique</t>
        </is>
      </c>
    </row>
    <row r="5">
      <c r="A5" t="inlineStr">
        <is>
          <t>Heure_fin_midi</t>
        </is>
      </c>
      <c r="B5" t="inlineStr">
        <is>
          <t>15:00</t>
        </is>
      </c>
      <c r="C5" t="inlineStr">
        <is>
          <t>Détection automatique</t>
        </is>
      </c>
    </row>
    <row r="6">
      <c r="A6" t="inlineStr">
        <is>
          <t>Heure_debut_soir</t>
        </is>
      </c>
      <c r="B6" t="inlineStr">
        <is>
          <t>15:01</t>
        </is>
      </c>
      <c r="C6" t="inlineStr">
        <is>
          <t>Détection automatique</t>
        </is>
      </c>
    </row>
    <row r="7">
      <c r="A7" t="inlineStr">
        <is>
          <t>Heure_fin_soir</t>
        </is>
      </c>
      <c r="B7" t="inlineStr">
        <is>
          <t>23:59</t>
        </is>
      </c>
      <c r="C7" t="inlineStr">
        <is>
          <t>Détection automatique</t>
        </is>
      </c>
    </row>
    <row r="8">
      <c r="A8" t="inlineStr">
        <is>
          <t>Lissage_analyse</t>
        </is>
      </c>
      <c r="B8" t="n">
        <v>0.5</v>
      </c>
      <c r="C8" t="inlineStr">
        <is>
          <t>Poids de l'ancien ratio (0.50 = 50%)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30" customWidth="1" min="5" max="5"/>
  </cols>
  <sheetData>
    <row r="1">
      <c r="A1" s="3" t="inlineStr">
        <is>
          <t>Date</t>
        </is>
      </c>
      <c r="B1" s="3" t="inlineStr">
        <is>
          <t>Jour</t>
        </is>
      </c>
      <c r="C1" s="3" t="inlineStr">
        <is>
          <t>Service</t>
        </is>
      </c>
      <c r="D1" s="3" t="inlineStr">
        <is>
          <t>Couverts</t>
        </is>
      </c>
      <c r="E1" s="3" t="inlineStr">
        <is>
          <t>Observations</t>
        </is>
      </c>
    </row>
    <row r="2">
      <c r="A2" t="inlineStr">
        <is>
          <t>2026-03-30</t>
        </is>
      </c>
      <c r="B2" t="inlineStr">
        <is>
          <t>Lundi</t>
        </is>
      </c>
      <c r="C2" t="inlineStr">
        <is>
          <t>Midi</t>
        </is>
      </c>
      <c r="D2" s="4" t="n">
        <v>18</v>
      </c>
    </row>
    <row r="3">
      <c r="A3" t="inlineStr">
        <is>
          <t>2026-03-31</t>
        </is>
      </c>
      <c r="B3" t="inlineStr">
        <is>
          <t>Mardi</t>
        </is>
      </c>
      <c r="C3" t="inlineStr">
        <is>
          <t>Midi</t>
        </is>
      </c>
      <c r="D3" s="4" t="n">
        <v>18</v>
      </c>
    </row>
    <row r="4">
      <c r="A4" t="inlineStr">
        <is>
          <t>2026-03-31</t>
        </is>
      </c>
      <c r="B4" t="inlineStr">
        <is>
          <t>Mardi</t>
        </is>
      </c>
      <c r="C4" t="inlineStr">
        <is>
          <t>Soir</t>
        </is>
      </c>
      <c r="D4" s="4" t="n">
        <v>20</v>
      </c>
    </row>
    <row r="5">
      <c r="A5" t="inlineStr">
        <is>
          <t>2026-04-01</t>
        </is>
      </c>
      <c r="B5" t="inlineStr">
        <is>
          <t>Mercredi</t>
        </is>
      </c>
      <c r="C5" t="inlineStr">
        <is>
          <t>Midi</t>
        </is>
      </c>
      <c r="D5" s="4" t="n">
        <v>18</v>
      </c>
    </row>
    <row r="6">
      <c r="A6" t="inlineStr">
        <is>
          <t>2026-04-01</t>
        </is>
      </c>
      <c r="B6" t="inlineStr">
        <is>
          <t>Mercredi</t>
        </is>
      </c>
      <c r="C6" t="inlineStr">
        <is>
          <t>Soir</t>
        </is>
      </c>
      <c r="D6" s="4" t="n">
        <v>20</v>
      </c>
    </row>
    <row r="7">
      <c r="A7" t="inlineStr">
        <is>
          <t>2026-04-02</t>
        </is>
      </c>
      <c r="B7" t="inlineStr">
        <is>
          <t>Jeudi</t>
        </is>
      </c>
      <c r="C7" t="inlineStr">
        <is>
          <t>Soir</t>
        </is>
      </c>
      <c r="D7" s="4" t="n">
        <v>28</v>
      </c>
      <c r="E7" t="inlineStr">
        <is>
          <t>Affluence forte</t>
        </is>
      </c>
    </row>
    <row r="8">
      <c r="A8" t="inlineStr">
        <is>
          <t>2026-04-03</t>
        </is>
      </c>
      <c r="B8" t="inlineStr">
        <is>
          <t>Vendredi</t>
        </is>
      </c>
      <c r="C8" t="inlineStr">
        <is>
          <t>Midi</t>
        </is>
      </c>
      <c r="D8" s="4" t="n">
        <v>25</v>
      </c>
    </row>
    <row r="9">
      <c r="A9" t="inlineStr">
        <is>
          <t>2026-04-03</t>
        </is>
      </c>
      <c r="B9" t="inlineStr">
        <is>
          <t>Vendredi</t>
        </is>
      </c>
      <c r="C9" t="inlineStr">
        <is>
          <t>Soir</t>
        </is>
      </c>
      <c r="D9" s="4" t="n">
        <v>30</v>
      </c>
      <c r="E9" t="inlineStr">
        <is>
          <t>Affluence forte</t>
        </is>
      </c>
    </row>
    <row r="10">
      <c r="A10" t="inlineStr">
        <is>
          <t>2026-04-04</t>
        </is>
      </c>
      <c r="B10" t="inlineStr">
        <is>
          <t>Samedi</t>
        </is>
      </c>
      <c r="C10" t="inlineStr">
        <is>
          <t>Soir</t>
        </is>
      </c>
      <c r="D10" s="4" t="n">
        <v>30</v>
      </c>
      <c r="E10" t="inlineStr">
        <is>
          <t>Affluence forte</t>
        </is>
      </c>
    </row>
    <row r="11">
      <c r="A11" t="inlineStr">
        <is>
          <t>2026-04-05</t>
        </is>
      </c>
      <c r="B11" t="inlineStr">
        <is>
          <t>Dimanche</t>
        </is>
      </c>
      <c r="C11" t="inlineStr">
        <is>
          <t>Midi</t>
        </is>
      </c>
      <c r="D11" s="4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18" customWidth="1" min="4" max="4"/>
    <col width="34" customWidth="1" min="5" max="5"/>
  </cols>
  <sheetData>
    <row r="1">
      <c r="A1" s="3" t="inlineStr">
        <is>
          <t>Plat</t>
        </is>
      </c>
      <c r="B1" s="3" t="inlineStr">
        <is>
          <t>Type</t>
        </is>
      </c>
      <c r="C1" s="3" t="inlineStr">
        <is>
          <t>Unité</t>
        </is>
      </c>
      <c r="D1" s="3" t="inlineStr">
        <is>
          <t>Ratio par couvert</t>
        </is>
      </c>
      <c r="E1" s="3" t="inlineStr">
        <is>
          <t>Commentaire</t>
        </is>
      </c>
    </row>
    <row r="2">
      <c r="A2" t="inlineStr">
        <is>
          <t>Accras</t>
        </is>
      </c>
      <c r="B2" t="inlineStr">
        <is>
          <t>Entrée</t>
        </is>
      </c>
      <c r="C2" t="inlineStr">
        <is>
          <t>portion</t>
        </is>
      </c>
      <c r="D2" s="4" t="n">
        <v>0.4</v>
      </c>
      <c r="E2" t="inlineStr">
        <is>
          <t>portion moyenne par couvert</t>
        </is>
      </c>
    </row>
    <row r="3">
      <c r="A3" t="inlineStr">
        <is>
          <t>Nems</t>
        </is>
      </c>
      <c r="B3" t="inlineStr">
        <is>
          <t>Entrée</t>
        </is>
      </c>
      <c r="C3" t="inlineStr">
        <is>
          <t>portion</t>
        </is>
      </c>
      <c r="D3" s="4" t="n">
        <v>0.18</v>
      </c>
    </row>
    <row r="4">
      <c r="A4" t="inlineStr">
        <is>
          <t>Samoussas</t>
        </is>
      </c>
      <c r="B4" t="inlineStr">
        <is>
          <t>Entrée</t>
        </is>
      </c>
      <c r="C4" t="inlineStr">
        <is>
          <t>portion</t>
        </is>
      </c>
      <c r="D4" s="4" t="n">
        <v>0.18</v>
      </c>
    </row>
    <row r="5">
      <c r="A5" t="inlineStr">
        <is>
          <t>Crevettes tempura</t>
        </is>
      </c>
      <c r="B5" t="inlineStr">
        <is>
          <t>Entrée</t>
        </is>
      </c>
      <c r="C5" t="inlineStr">
        <is>
          <t>portion</t>
        </is>
      </c>
      <c r="D5" s="4" t="n">
        <v>0.12</v>
      </c>
    </row>
    <row r="6">
      <c r="A6" t="inlineStr">
        <is>
          <t>Pisquettes</t>
        </is>
      </c>
      <c r="B6" t="inlineStr">
        <is>
          <t>Entrée</t>
        </is>
      </c>
      <c r="C6" t="inlineStr">
        <is>
          <t>portion</t>
        </is>
      </c>
      <c r="D6" s="4" t="n">
        <v>0.1</v>
      </c>
    </row>
    <row r="7">
      <c r="A7" t="inlineStr">
        <is>
          <t>Tapas trio</t>
        </is>
      </c>
      <c r="B7" t="inlineStr">
        <is>
          <t>Entrée</t>
        </is>
      </c>
      <c r="C7" t="inlineStr">
        <is>
          <t>portion</t>
        </is>
      </c>
      <c r="D7" s="4" t="n">
        <v>0.08</v>
      </c>
    </row>
    <row r="8">
      <c r="A8" t="inlineStr">
        <is>
          <t>Assiette créole</t>
        </is>
      </c>
      <c r="B8" t="inlineStr">
        <is>
          <t>Entrée</t>
        </is>
      </c>
      <c r="C8" t="inlineStr">
        <is>
          <t>portion</t>
        </is>
      </c>
      <c r="D8" s="4" t="n">
        <v>0.1</v>
      </c>
    </row>
    <row r="9">
      <c r="A9" t="inlineStr">
        <is>
          <t>Salade Cap Est</t>
        </is>
      </c>
      <c r="B9" t="inlineStr">
        <is>
          <t>Plat</t>
        </is>
      </c>
      <c r="C9" t="inlineStr">
        <is>
          <t>portion</t>
        </is>
      </c>
      <c r="D9" s="4" t="n">
        <v>0.2</v>
      </c>
    </row>
    <row r="10">
      <c r="A10" t="inlineStr">
        <is>
          <t>Brochette de boeuf</t>
        </is>
      </c>
      <c r="B10" t="inlineStr">
        <is>
          <t>Plat</t>
        </is>
      </c>
      <c r="C10" t="inlineStr">
        <is>
          <t>portion</t>
        </is>
      </c>
      <c r="D10" s="4" t="n">
        <v>0.1</v>
      </c>
    </row>
    <row r="11">
      <c r="A11" t="inlineStr">
        <is>
          <t>Brochette de crevettes</t>
        </is>
      </c>
      <c r="B11" t="inlineStr">
        <is>
          <t>Plat</t>
        </is>
      </c>
      <c r="C11" t="inlineStr">
        <is>
          <t>portion</t>
        </is>
      </c>
      <c r="D11" s="4" t="n">
        <v>0.1</v>
      </c>
    </row>
    <row r="12">
      <c r="A12" t="inlineStr">
        <is>
          <t>Brochette de poisson</t>
        </is>
      </c>
      <c r="B12" t="inlineStr">
        <is>
          <t>Plat</t>
        </is>
      </c>
      <c r="C12" t="inlineStr">
        <is>
          <t>portion</t>
        </is>
      </c>
      <c r="D12" s="4" t="n">
        <v>0.1</v>
      </c>
    </row>
    <row r="13">
      <c r="A13" t="inlineStr">
        <is>
          <t>Brochette de poulet</t>
        </is>
      </c>
      <c r="B13" t="inlineStr">
        <is>
          <t>Plat</t>
        </is>
      </c>
      <c r="C13" t="inlineStr">
        <is>
          <t>portion</t>
        </is>
      </c>
      <c r="D13" s="4" t="n">
        <v>0.16</v>
      </c>
    </row>
    <row r="14">
      <c r="A14" t="inlineStr">
        <is>
          <t>Brochette de légumes</t>
        </is>
      </c>
      <c r="B14" t="inlineStr">
        <is>
          <t>Plat</t>
        </is>
      </c>
      <c r="C14" t="inlineStr">
        <is>
          <t>portion</t>
        </is>
      </c>
      <c r="D14" s="4" t="n">
        <v>0.06</v>
      </c>
    </row>
    <row r="15">
      <c r="A15" t="inlineStr">
        <is>
          <t>Entrecôte</t>
        </is>
      </c>
      <c r="B15" t="inlineStr">
        <is>
          <t>Plat</t>
        </is>
      </c>
      <c r="C15" t="inlineStr">
        <is>
          <t>portion</t>
        </is>
      </c>
      <c r="D15" s="4" t="n">
        <v>0.18</v>
      </c>
    </row>
    <row r="16">
      <c r="A16" t="inlineStr">
        <is>
          <t>Pièce du boucher</t>
        </is>
      </c>
      <c r="B16" t="inlineStr">
        <is>
          <t>Plat</t>
        </is>
      </c>
      <c r="C16" t="inlineStr">
        <is>
          <t>portion</t>
        </is>
      </c>
      <c r="D16" s="4" t="n">
        <v>0.1</v>
      </c>
    </row>
    <row r="17">
      <c r="A17" t="inlineStr">
        <is>
          <t>Magret de canard</t>
        </is>
      </c>
      <c r="B17" t="inlineStr">
        <is>
          <t>Plat</t>
        </is>
      </c>
      <c r="C17" t="inlineStr">
        <is>
          <t>portion</t>
        </is>
      </c>
      <c r="D17" s="4" t="n">
        <v>0.08</v>
      </c>
    </row>
    <row r="18">
      <c r="A18" t="inlineStr">
        <is>
          <t>Côte de boeuf</t>
        </is>
      </c>
      <c r="B18" t="inlineStr">
        <is>
          <t>Plat</t>
        </is>
      </c>
      <c r="C18" t="inlineStr">
        <is>
          <t>portion</t>
        </is>
      </c>
      <c r="D18" s="4" t="n">
        <v>0.06</v>
      </c>
    </row>
    <row r="19">
      <c r="A19" t="inlineStr">
        <is>
          <t>Filet de poisson frais</t>
        </is>
      </c>
      <c r="B19" t="inlineStr">
        <is>
          <t>Plat</t>
        </is>
      </c>
      <c r="C19" t="inlineStr">
        <is>
          <t>portion</t>
        </is>
      </c>
      <c r="D19" s="4" t="n">
        <v>0.16</v>
      </c>
    </row>
    <row r="20">
      <c r="A20" t="inlineStr">
        <is>
          <t>Tartare de poisson</t>
        </is>
      </c>
      <c r="B20" t="inlineStr">
        <is>
          <t>Plat</t>
        </is>
      </c>
      <c r="C20" t="inlineStr">
        <is>
          <t>portion</t>
        </is>
      </c>
      <c r="D20" s="4" t="n">
        <v>0.08</v>
      </c>
    </row>
    <row r="21">
      <c r="A21" t="inlineStr">
        <is>
          <t>Frites maison</t>
        </is>
      </c>
      <c r="B21" t="inlineStr">
        <is>
          <t>Accompagnement</t>
        </is>
      </c>
      <c r="C21" t="inlineStr">
        <is>
          <t>portion</t>
        </is>
      </c>
      <c r="D21" s="4" t="n">
        <v>0.8</v>
      </c>
    </row>
    <row r="22">
      <c r="A22" t="inlineStr">
        <is>
          <t>Salade</t>
        </is>
      </c>
      <c r="B22" t="inlineStr">
        <is>
          <t>Accompagnement</t>
        </is>
      </c>
      <c r="C22" t="inlineStr">
        <is>
          <t>portion</t>
        </is>
      </c>
      <c r="D22" s="4" t="n">
        <v>0.4</v>
      </c>
    </row>
    <row r="23">
      <c r="A23" t="inlineStr">
        <is>
          <t>Légumes variés</t>
        </is>
      </c>
      <c r="B23" t="inlineStr">
        <is>
          <t>Accompagnement</t>
        </is>
      </c>
      <c r="C23" t="inlineStr">
        <is>
          <t>portion</t>
        </is>
      </c>
      <c r="D23" s="4" t="n">
        <v>0.35</v>
      </c>
    </row>
    <row r="24">
      <c r="A24" t="inlineStr">
        <is>
          <t>Gratin</t>
        </is>
      </c>
      <c r="B24" t="inlineStr">
        <is>
          <t>Accompagnement</t>
        </is>
      </c>
      <c r="C24" t="inlineStr">
        <is>
          <t>portion</t>
        </is>
      </c>
      <c r="D24" s="4" t="n">
        <v>0.35</v>
      </c>
    </row>
    <row r="25">
      <c r="A25" t="inlineStr">
        <is>
          <t>Fondant chocolat</t>
        </is>
      </c>
      <c r="B25" t="inlineStr">
        <is>
          <t>Dessert</t>
        </is>
      </c>
      <c r="C25" t="inlineStr">
        <is>
          <t>portion</t>
        </is>
      </c>
      <c r="D25" s="4" t="n">
        <v>0.18</v>
      </c>
    </row>
    <row r="26">
      <c r="A26" t="inlineStr">
        <is>
          <t>Tartelettes</t>
        </is>
      </c>
      <c r="B26" t="inlineStr">
        <is>
          <t>Dessert</t>
        </is>
      </c>
      <c r="C26" t="inlineStr">
        <is>
          <t>portion</t>
        </is>
      </c>
      <c r="D26" s="4" t="n">
        <v>0.18</v>
      </c>
    </row>
    <row r="27">
      <c r="A27" t="inlineStr">
        <is>
          <t>Profiteroles</t>
        </is>
      </c>
      <c r="B27" t="inlineStr">
        <is>
          <t>Dessert</t>
        </is>
      </c>
      <c r="C27" t="inlineStr">
        <is>
          <t>portion</t>
        </is>
      </c>
      <c r="D27" s="4" t="n">
        <v>0.1</v>
      </c>
    </row>
    <row r="28">
      <c r="A28" t="inlineStr">
        <is>
          <t>Gaufres</t>
        </is>
      </c>
      <c r="B28" t="inlineStr">
        <is>
          <t>Dessert</t>
        </is>
      </c>
      <c r="C28" t="inlineStr">
        <is>
          <t>portion</t>
        </is>
      </c>
      <c r="D28" s="4" t="n">
        <v>0.08</v>
      </c>
    </row>
    <row r="29">
      <c r="A29" t="inlineStr">
        <is>
          <t>Compotée</t>
        </is>
      </c>
      <c r="B29" t="inlineStr">
        <is>
          <t>Dessert</t>
        </is>
      </c>
      <c r="C29" t="inlineStr">
        <is>
          <t>portion</t>
        </is>
      </c>
      <c r="D29" s="4" t="n">
        <v>0.08</v>
      </c>
    </row>
    <row r="30">
      <c r="A30" t="inlineStr">
        <is>
          <t>Boule de glace</t>
        </is>
      </c>
      <c r="B30" t="inlineStr">
        <is>
          <t>Dessert</t>
        </is>
      </c>
      <c r="C30" t="inlineStr">
        <is>
          <t>portion</t>
        </is>
      </c>
      <c r="D30" s="4" t="n">
        <v>0.18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18" customWidth="1" min="4" max="4"/>
    <col width="32" customWidth="1" min="5" max="5"/>
  </cols>
  <sheetData>
    <row r="1">
      <c r="A1" s="3" t="inlineStr">
        <is>
          <t>Date</t>
        </is>
      </c>
      <c r="B1" s="3" t="inlineStr">
        <is>
          <t>Service</t>
        </is>
      </c>
      <c r="C1" s="3" t="inlineStr">
        <is>
          <t>Plat</t>
        </is>
      </c>
      <c r="D1" s="3" t="inlineStr">
        <is>
          <t>Quantité vendue</t>
        </is>
      </c>
      <c r="E1" s="3" t="inlineStr">
        <is>
          <t>Observations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20" customWidth="1" min="3" max="3"/>
    <col width="16" customWidth="1" min="4" max="4"/>
    <col width="14" customWidth="1" min="5" max="5"/>
    <col width="24" customWidth="1" min="6" max="6"/>
  </cols>
  <sheetData>
    <row r="1">
      <c r="A1" s="3" t="inlineStr">
        <is>
          <t>Plat</t>
        </is>
      </c>
      <c r="B1" s="3" t="inlineStr">
        <is>
          <t>Ratio initial</t>
        </is>
      </c>
      <c r="C1" s="3" t="inlineStr">
        <is>
          <t>Ventes réelles totales</t>
        </is>
      </c>
      <c r="D1" s="3" t="inlineStr">
        <is>
          <t>Couverts totaux</t>
        </is>
      </c>
      <c r="E1" s="3" t="inlineStr">
        <is>
          <t>Ratio réel</t>
        </is>
      </c>
      <c r="F1" s="3" t="inlineStr">
        <is>
          <t>Nouveau ratio recommandé</t>
        </is>
      </c>
    </row>
    <row r="2">
      <c r="A2" t="inlineStr">
        <is>
          <t>Accras</t>
        </is>
      </c>
      <c r="B2">
        <f>IFERROR(VLOOKUP(A2,RATIOS_INITIAUX!A:D,4,FALSE),0)</f>
        <v/>
      </c>
      <c r="C2">
        <f>SUMIF(VENTES_REELLES!C:C,A2,VENTES_REELLES!D:D)</f>
        <v/>
      </c>
      <c r="D2">
        <f>SUM(PREVISION_SERVICE!D:D)</f>
        <v/>
      </c>
      <c r="E2">
        <f>IFERROR(C2/D2,0)</f>
        <v/>
      </c>
      <c r="F2">
        <f>ROUND((B2*PARAMETRES!B7)+(E2*(1-PARAMETRES!B7)),3)</f>
        <v/>
      </c>
    </row>
    <row r="3">
      <c r="A3" t="inlineStr">
        <is>
          <t>Nems</t>
        </is>
      </c>
      <c r="B3">
        <f>IFERROR(VLOOKUP(A3,RATIOS_INITIAUX!A:D,4,FALSE),0)</f>
        <v/>
      </c>
      <c r="C3">
        <f>SUMIF(VENTES_REELLES!C:C,A3,VENTES_REELLES!D:D)</f>
        <v/>
      </c>
      <c r="D3">
        <f>SUM(PREVISION_SERVICE!D:D)</f>
        <v/>
      </c>
      <c r="E3">
        <f>IFERROR(C3/D3,0)</f>
        <v/>
      </c>
      <c r="F3">
        <f>ROUND((B3*PARAMETRES!B7)+(E3*(1-PARAMETRES!B7)),3)</f>
        <v/>
      </c>
    </row>
    <row r="4">
      <c r="A4" t="inlineStr">
        <is>
          <t>Samoussas</t>
        </is>
      </c>
      <c r="B4">
        <f>IFERROR(VLOOKUP(A4,RATIOS_INITIAUX!A:D,4,FALSE),0)</f>
        <v/>
      </c>
      <c r="C4">
        <f>SUMIF(VENTES_REELLES!C:C,A4,VENTES_REELLES!D:D)</f>
        <v/>
      </c>
      <c r="D4">
        <f>SUM(PREVISION_SERVICE!D:D)</f>
        <v/>
      </c>
      <c r="E4">
        <f>IFERROR(C4/D4,0)</f>
        <v/>
      </c>
      <c r="F4">
        <f>ROUND((B4*PARAMETRES!B7)+(E4*(1-PARAMETRES!B7)),3)</f>
        <v/>
      </c>
    </row>
    <row r="5">
      <c r="A5" t="inlineStr">
        <is>
          <t>Crevettes tempura</t>
        </is>
      </c>
      <c r="B5">
        <f>IFERROR(VLOOKUP(A5,RATIOS_INITIAUX!A:D,4,FALSE),0)</f>
        <v/>
      </c>
      <c r="C5">
        <f>SUMIF(VENTES_REELLES!C:C,A5,VENTES_REELLES!D:D)</f>
        <v/>
      </c>
      <c r="D5">
        <f>SUM(PREVISION_SERVICE!D:D)</f>
        <v/>
      </c>
      <c r="E5">
        <f>IFERROR(C5/D5,0)</f>
        <v/>
      </c>
      <c r="F5">
        <f>ROUND((B5*PARAMETRES!B7)+(E5*(1-PARAMETRES!B7)),3)</f>
        <v/>
      </c>
    </row>
    <row r="6">
      <c r="A6" t="inlineStr">
        <is>
          <t>Pisquettes</t>
        </is>
      </c>
      <c r="B6">
        <f>IFERROR(VLOOKUP(A6,RATIOS_INITIAUX!A:D,4,FALSE),0)</f>
        <v/>
      </c>
      <c r="C6">
        <f>SUMIF(VENTES_REELLES!C:C,A6,VENTES_REELLES!D:D)</f>
        <v/>
      </c>
      <c r="D6">
        <f>SUM(PREVISION_SERVICE!D:D)</f>
        <v/>
      </c>
      <c r="E6">
        <f>IFERROR(C6/D6,0)</f>
        <v/>
      </c>
      <c r="F6">
        <f>ROUND((B6*PARAMETRES!B7)+(E6*(1-PARAMETRES!B7)),3)</f>
        <v/>
      </c>
    </row>
    <row r="7">
      <c r="A7" t="inlineStr">
        <is>
          <t>Tapas trio</t>
        </is>
      </c>
      <c r="B7">
        <f>IFERROR(VLOOKUP(A7,RATIOS_INITIAUX!A:D,4,FALSE),0)</f>
        <v/>
      </c>
      <c r="C7">
        <f>SUMIF(VENTES_REELLES!C:C,A7,VENTES_REELLES!D:D)</f>
        <v/>
      </c>
      <c r="D7">
        <f>SUM(PREVISION_SERVICE!D:D)</f>
        <v/>
      </c>
      <c r="E7">
        <f>IFERROR(C7/D7,0)</f>
        <v/>
      </c>
      <c r="F7">
        <f>ROUND((B7*PARAMETRES!B7)+(E7*(1-PARAMETRES!B7)),3)</f>
        <v/>
      </c>
    </row>
    <row r="8">
      <c r="A8" t="inlineStr">
        <is>
          <t>Assiette créole</t>
        </is>
      </c>
      <c r="B8">
        <f>IFERROR(VLOOKUP(A8,RATIOS_INITIAUX!A:D,4,FALSE),0)</f>
        <v/>
      </c>
      <c r="C8">
        <f>SUMIF(VENTES_REELLES!C:C,A8,VENTES_REELLES!D:D)</f>
        <v/>
      </c>
      <c r="D8">
        <f>SUM(PREVISION_SERVICE!D:D)</f>
        <v/>
      </c>
      <c r="E8">
        <f>IFERROR(C8/D8,0)</f>
        <v/>
      </c>
      <c r="F8">
        <f>ROUND((B8*PARAMETRES!B7)+(E8*(1-PARAMETRES!B7)),3)</f>
        <v/>
      </c>
    </row>
    <row r="9">
      <c r="A9" t="inlineStr">
        <is>
          <t>Salade Cap Est</t>
        </is>
      </c>
      <c r="B9">
        <f>IFERROR(VLOOKUP(A9,RATIOS_INITIAUX!A:D,4,FALSE),0)</f>
        <v/>
      </c>
      <c r="C9">
        <f>SUMIF(VENTES_REELLES!C:C,A9,VENTES_REELLES!D:D)</f>
        <v/>
      </c>
      <c r="D9">
        <f>SUM(PREVISION_SERVICE!D:D)</f>
        <v/>
      </c>
      <c r="E9">
        <f>IFERROR(C9/D9,0)</f>
        <v/>
      </c>
      <c r="F9">
        <f>ROUND((B9*PARAMETRES!B7)+(E9*(1-PARAMETRES!B7)),3)</f>
        <v/>
      </c>
    </row>
    <row r="10">
      <c r="A10" t="inlineStr">
        <is>
          <t>Brochette de boeuf</t>
        </is>
      </c>
      <c r="B10">
        <f>IFERROR(VLOOKUP(A10,RATIOS_INITIAUX!A:D,4,FALSE),0)</f>
        <v/>
      </c>
      <c r="C10">
        <f>SUMIF(VENTES_REELLES!C:C,A10,VENTES_REELLES!D:D)</f>
        <v/>
      </c>
      <c r="D10">
        <f>SUM(PREVISION_SERVICE!D:D)</f>
        <v/>
      </c>
      <c r="E10">
        <f>IFERROR(C10/D10,0)</f>
        <v/>
      </c>
      <c r="F10">
        <f>ROUND((B10*PARAMETRES!B7)+(E10*(1-PARAMETRES!B7)),3)</f>
        <v/>
      </c>
    </row>
    <row r="11">
      <c r="A11" t="inlineStr">
        <is>
          <t>Brochette de crevettes</t>
        </is>
      </c>
      <c r="B11">
        <f>IFERROR(VLOOKUP(A11,RATIOS_INITIAUX!A:D,4,FALSE),0)</f>
        <v/>
      </c>
      <c r="C11">
        <f>SUMIF(VENTES_REELLES!C:C,A11,VENTES_REELLES!D:D)</f>
        <v/>
      </c>
      <c r="D11">
        <f>SUM(PREVISION_SERVICE!D:D)</f>
        <v/>
      </c>
      <c r="E11">
        <f>IFERROR(C11/D11,0)</f>
        <v/>
      </c>
      <c r="F11">
        <f>ROUND((B11*PARAMETRES!B7)+(E11*(1-PARAMETRES!B7)),3)</f>
        <v/>
      </c>
    </row>
    <row r="12">
      <c r="A12" t="inlineStr">
        <is>
          <t>Brochette de poisson</t>
        </is>
      </c>
      <c r="B12">
        <f>IFERROR(VLOOKUP(A12,RATIOS_INITIAUX!A:D,4,FALSE),0)</f>
        <v/>
      </c>
      <c r="C12">
        <f>SUMIF(VENTES_REELLES!C:C,A12,VENTES_REELLES!D:D)</f>
        <v/>
      </c>
      <c r="D12">
        <f>SUM(PREVISION_SERVICE!D:D)</f>
        <v/>
      </c>
      <c r="E12">
        <f>IFERROR(C12/D12,0)</f>
        <v/>
      </c>
      <c r="F12">
        <f>ROUND((B12*PARAMETRES!B7)+(E12*(1-PARAMETRES!B7)),3)</f>
        <v/>
      </c>
    </row>
    <row r="13">
      <c r="A13" t="inlineStr">
        <is>
          <t>Brochette de poulet</t>
        </is>
      </c>
      <c r="B13">
        <f>IFERROR(VLOOKUP(A13,RATIOS_INITIAUX!A:D,4,FALSE),0)</f>
        <v/>
      </c>
      <c r="C13">
        <f>SUMIF(VENTES_REELLES!C:C,A13,VENTES_REELLES!D:D)</f>
        <v/>
      </c>
      <c r="D13">
        <f>SUM(PREVISION_SERVICE!D:D)</f>
        <v/>
      </c>
      <c r="E13">
        <f>IFERROR(C13/D13,0)</f>
        <v/>
      </c>
      <c r="F13">
        <f>ROUND((B13*PARAMETRES!B7)+(E13*(1-PARAMETRES!B7)),3)</f>
        <v/>
      </c>
    </row>
    <row r="14">
      <c r="A14" t="inlineStr">
        <is>
          <t>Brochette de légumes</t>
        </is>
      </c>
      <c r="B14">
        <f>IFERROR(VLOOKUP(A14,RATIOS_INITIAUX!A:D,4,FALSE),0)</f>
        <v/>
      </c>
      <c r="C14">
        <f>SUMIF(VENTES_REELLES!C:C,A14,VENTES_REELLES!D:D)</f>
        <v/>
      </c>
      <c r="D14">
        <f>SUM(PREVISION_SERVICE!D:D)</f>
        <v/>
      </c>
      <c r="E14">
        <f>IFERROR(C14/D14,0)</f>
        <v/>
      </c>
      <c r="F14">
        <f>ROUND((B14*PARAMETRES!B7)+(E14*(1-PARAMETRES!B7)),3)</f>
        <v/>
      </c>
    </row>
    <row r="15">
      <c r="A15" t="inlineStr">
        <is>
          <t>Entrecôte</t>
        </is>
      </c>
      <c r="B15">
        <f>IFERROR(VLOOKUP(A15,RATIOS_INITIAUX!A:D,4,FALSE),0)</f>
        <v/>
      </c>
      <c r="C15">
        <f>SUMIF(VENTES_REELLES!C:C,A15,VENTES_REELLES!D:D)</f>
        <v/>
      </c>
      <c r="D15">
        <f>SUM(PREVISION_SERVICE!D:D)</f>
        <v/>
      </c>
      <c r="E15">
        <f>IFERROR(C15/D15,0)</f>
        <v/>
      </c>
      <c r="F15">
        <f>ROUND((B15*PARAMETRES!B7)+(E15*(1-PARAMETRES!B7)),3)</f>
        <v/>
      </c>
    </row>
    <row r="16">
      <c r="A16" t="inlineStr">
        <is>
          <t>Pièce du boucher</t>
        </is>
      </c>
      <c r="B16">
        <f>IFERROR(VLOOKUP(A16,RATIOS_INITIAUX!A:D,4,FALSE),0)</f>
        <v/>
      </c>
      <c r="C16">
        <f>SUMIF(VENTES_REELLES!C:C,A16,VENTES_REELLES!D:D)</f>
        <v/>
      </c>
      <c r="D16">
        <f>SUM(PREVISION_SERVICE!D:D)</f>
        <v/>
      </c>
      <c r="E16">
        <f>IFERROR(C16/D16,0)</f>
        <v/>
      </c>
      <c r="F16">
        <f>ROUND((B16*PARAMETRES!B7)+(E16*(1-PARAMETRES!B7)),3)</f>
        <v/>
      </c>
    </row>
    <row r="17">
      <c r="A17" t="inlineStr">
        <is>
          <t>Magret de canard</t>
        </is>
      </c>
      <c r="B17">
        <f>IFERROR(VLOOKUP(A17,RATIOS_INITIAUX!A:D,4,FALSE),0)</f>
        <v/>
      </c>
      <c r="C17">
        <f>SUMIF(VENTES_REELLES!C:C,A17,VENTES_REELLES!D:D)</f>
        <v/>
      </c>
      <c r="D17">
        <f>SUM(PREVISION_SERVICE!D:D)</f>
        <v/>
      </c>
      <c r="E17">
        <f>IFERROR(C17/D17,0)</f>
        <v/>
      </c>
      <c r="F17">
        <f>ROUND((B17*PARAMETRES!B7)+(E17*(1-PARAMETRES!B7)),3)</f>
        <v/>
      </c>
    </row>
    <row r="18">
      <c r="A18" t="inlineStr">
        <is>
          <t>Côte de boeuf</t>
        </is>
      </c>
      <c r="B18">
        <f>IFERROR(VLOOKUP(A18,RATIOS_INITIAUX!A:D,4,FALSE),0)</f>
        <v/>
      </c>
      <c r="C18">
        <f>SUMIF(VENTES_REELLES!C:C,A18,VENTES_REELLES!D:D)</f>
        <v/>
      </c>
      <c r="D18">
        <f>SUM(PREVISION_SERVICE!D:D)</f>
        <v/>
      </c>
      <c r="E18">
        <f>IFERROR(C18/D18,0)</f>
        <v/>
      </c>
      <c r="F18">
        <f>ROUND((B18*PARAMETRES!B7)+(E18*(1-PARAMETRES!B7)),3)</f>
        <v/>
      </c>
    </row>
    <row r="19">
      <c r="A19" t="inlineStr">
        <is>
          <t>Filet de poisson frais</t>
        </is>
      </c>
      <c r="B19">
        <f>IFERROR(VLOOKUP(A19,RATIOS_INITIAUX!A:D,4,FALSE),0)</f>
        <v/>
      </c>
      <c r="C19">
        <f>SUMIF(VENTES_REELLES!C:C,A19,VENTES_REELLES!D:D)</f>
        <v/>
      </c>
      <c r="D19">
        <f>SUM(PREVISION_SERVICE!D:D)</f>
        <v/>
      </c>
      <c r="E19">
        <f>IFERROR(C19/D19,0)</f>
        <v/>
      </c>
      <c r="F19">
        <f>ROUND((B19*PARAMETRES!B7)+(E19*(1-PARAMETRES!B7)),3)</f>
        <v/>
      </c>
    </row>
    <row r="20">
      <c r="A20" t="inlineStr">
        <is>
          <t>Tartare de poisson</t>
        </is>
      </c>
      <c r="B20">
        <f>IFERROR(VLOOKUP(A20,RATIOS_INITIAUX!A:D,4,FALSE),0)</f>
        <v/>
      </c>
      <c r="C20">
        <f>SUMIF(VENTES_REELLES!C:C,A20,VENTES_REELLES!D:D)</f>
        <v/>
      </c>
      <c r="D20">
        <f>SUM(PREVISION_SERVICE!D:D)</f>
        <v/>
      </c>
      <c r="E20">
        <f>IFERROR(C20/D20,0)</f>
        <v/>
      </c>
      <c r="F20">
        <f>ROUND((B20*PARAMETRES!B7)+(E20*(1-PARAMETRES!B7)),3)</f>
        <v/>
      </c>
    </row>
    <row r="21">
      <c r="A21" t="inlineStr">
        <is>
          <t>Frites maison</t>
        </is>
      </c>
      <c r="B21">
        <f>IFERROR(VLOOKUP(A21,RATIOS_INITIAUX!A:D,4,FALSE),0)</f>
        <v/>
      </c>
      <c r="C21">
        <f>SUMIF(VENTES_REELLES!C:C,A21,VENTES_REELLES!D:D)</f>
        <v/>
      </c>
      <c r="D21">
        <f>SUM(PREVISION_SERVICE!D:D)</f>
        <v/>
      </c>
      <c r="E21">
        <f>IFERROR(C21/D21,0)</f>
        <v/>
      </c>
      <c r="F21">
        <f>ROUND((B21*PARAMETRES!B7)+(E21*(1-PARAMETRES!B7)),3)</f>
        <v/>
      </c>
    </row>
    <row r="22">
      <c r="A22" t="inlineStr">
        <is>
          <t>Salade</t>
        </is>
      </c>
      <c r="B22">
        <f>IFERROR(VLOOKUP(A22,RATIOS_INITIAUX!A:D,4,FALSE),0)</f>
        <v/>
      </c>
      <c r="C22">
        <f>SUMIF(VENTES_REELLES!C:C,A22,VENTES_REELLES!D:D)</f>
        <v/>
      </c>
      <c r="D22">
        <f>SUM(PREVISION_SERVICE!D:D)</f>
        <v/>
      </c>
      <c r="E22">
        <f>IFERROR(C22/D22,0)</f>
        <v/>
      </c>
      <c r="F22">
        <f>ROUND((B22*PARAMETRES!B7)+(E22*(1-PARAMETRES!B7)),3)</f>
        <v/>
      </c>
    </row>
    <row r="23">
      <c r="A23" t="inlineStr">
        <is>
          <t>Légumes variés</t>
        </is>
      </c>
      <c r="B23">
        <f>IFERROR(VLOOKUP(A23,RATIOS_INITIAUX!A:D,4,FALSE),0)</f>
        <v/>
      </c>
      <c r="C23">
        <f>SUMIF(VENTES_REELLES!C:C,A23,VENTES_REELLES!D:D)</f>
        <v/>
      </c>
      <c r="D23">
        <f>SUM(PREVISION_SERVICE!D:D)</f>
        <v/>
      </c>
      <c r="E23">
        <f>IFERROR(C23/D23,0)</f>
        <v/>
      </c>
      <c r="F23">
        <f>ROUND((B23*PARAMETRES!B7)+(E23*(1-PARAMETRES!B7)),3)</f>
        <v/>
      </c>
    </row>
    <row r="24">
      <c r="A24" t="inlineStr">
        <is>
          <t>Gratin</t>
        </is>
      </c>
      <c r="B24">
        <f>IFERROR(VLOOKUP(A24,RATIOS_INITIAUX!A:D,4,FALSE),0)</f>
        <v/>
      </c>
      <c r="C24">
        <f>SUMIF(VENTES_REELLES!C:C,A24,VENTES_REELLES!D:D)</f>
        <v/>
      </c>
      <c r="D24">
        <f>SUM(PREVISION_SERVICE!D:D)</f>
        <v/>
      </c>
      <c r="E24">
        <f>IFERROR(C24/D24,0)</f>
        <v/>
      </c>
      <c r="F24">
        <f>ROUND((B24*PARAMETRES!B7)+(E24*(1-PARAMETRES!B7)),3)</f>
        <v/>
      </c>
    </row>
    <row r="25">
      <c r="A25" t="inlineStr">
        <is>
          <t>Fondant chocolat</t>
        </is>
      </c>
      <c r="B25">
        <f>IFERROR(VLOOKUP(A25,RATIOS_INITIAUX!A:D,4,FALSE),0)</f>
        <v/>
      </c>
      <c r="C25">
        <f>SUMIF(VENTES_REELLES!C:C,A25,VENTES_REELLES!D:D)</f>
        <v/>
      </c>
      <c r="D25">
        <f>SUM(PREVISION_SERVICE!D:D)</f>
        <v/>
      </c>
      <c r="E25">
        <f>IFERROR(C25/D25,0)</f>
        <v/>
      </c>
      <c r="F25">
        <f>ROUND((B25*PARAMETRES!B7)+(E25*(1-PARAMETRES!B7)),3)</f>
        <v/>
      </c>
    </row>
    <row r="26">
      <c r="A26" t="inlineStr">
        <is>
          <t>Tartelettes</t>
        </is>
      </c>
      <c r="B26">
        <f>IFERROR(VLOOKUP(A26,RATIOS_INITIAUX!A:D,4,FALSE),0)</f>
        <v/>
      </c>
      <c r="C26">
        <f>SUMIF(VENTES_REELLES!C:C,A26,VENTES_REELLES!D:D)</f>
        <v/>
      </c>
      <c r="D26">
        <f>SUM(PREVISION_SERVICE!D:D)</f>
        <v/>
      </c>
      <c r="E26">
        <f>IFERROR(C26/D26,0)</f>
        <v/>
      </c>
      <c r="F26">
        <f>ROUND((B26*PARAMETRES!B7)+(E26*(1-PARAMETRES!B7)),3)</f>
        <v/>
      </c>
    </row>
    <row r="27">
      <c r="A27" t="inlineStr">
        <is>
          <t>Profiteroles</t>
        </is>
      </c>
      <c r="B27">
        <f>IFERROR(VLOOKUP(A27,RATIOS_INITIAUX!A:D,4,FALSE),0)</f>
        <v/>
      </c>
      <c r="C27">
        <f>SUMIF(VENTES_REELLES!C:C,A27,VENTES_REELLES!D:D)</f>
        <v/>
      </c>
      <c r="D27">
        <f>SUM(PREVISION_SERVICE!D:D)</f>
        <v/>
      </c>
      <c r="E27">
        <f>IFERROR(C27/D27,0)</f>
        <v/>
      </c>
      <c r="F27">
        <f>ROUND((B27*PARAMETRES!B7)+(E27*(1-PARAMETRES!B7)),3)</f>
        <v/>
      </c>
    </row>
    <row r="28">
      <c r="A28" t="inlineStr">
        <is>
          <t>Gaufres</t>
        </is>
      </c>
      <c r="B28">
        <f>IFERROR(VLOOKUP(A28,RATIOS_INITIAUX!A:D,4,FALSE),0)</f>
        <v/>
      </c>
      <c r="C28">
        <f>SUMIF(VENTES_REELLES!C:C,A28,VENTES_REELLES!D:D)</f>
        <v/>
      </c>
      <c r="D28">
        <f>SUM(PREVISION_SERVICE!D:D)</f>
        <v/>
      </c>
      <c r="E28">
        <f>IFERROR(C28/D28,0)</f>
        <v/>
      </c>
      <c r="F28">
        <f>ROUND((B28*PARAMETRES!B7)+(E28*(1-PARAMETRES!B7)),3)</f>
        <v/>
      </c>
    </row>
    <row r="29">
      <c r="A29" t="inlineStr">
        <is>
          <t>Compotée</t>
        </is>
      </c>
      <c r="B29">
        <f>IFERROR(VLOOKUP(A29,RATIOS_INITIAUX!A:D,4,FALSE),0)</f>
        <v/>
      </c>
      <c r="C29">
        <f>SUMIF(VENTES_REELLES!C:C,A29,VENTES_REELLES!D:D)</f>
        <v/>
      </c>
      <c r="D29">
        <f>SUM(PREVISION_SERVICE!D:D)</f>
        <v/>
      </c>
      <c r="E29">
        <f>IFERROR(C29/D29,0)</f>
        <v/>
      </c>
      <c r="F29">
        <f>ROUND((B29*PARAMETRES!B7)+(E29*(1-PARAMETRES!B7)),3)</f>
        <v/>
      </c>
    </row>
    <row r="30">
      <c r="A30" t="inlineStr">
        <is>
          <t>Boule de glace</t>
        </is>
      </c>
      <c r="B30">
        <f>IFERROR(VLOOKUP(A30,RATIOS_INITIAUX!A:D,4,FALSE),0)</f>
        <v/>
      </c>
      <c r="C30">
        <f>SUMIF(VENTES_REELLES!C:C,A30,VENTES_REELLES!D:D)</f>
        <v/>
      </c>
      <c r="D30">
        <f>SUM(PREVISION_SERVICE!D:D)</f>
        <v/>
      </c>
      <c r="E30">
        <f>IFERROR(C30/D30,0)</f>
        <v/>
      </c>
      <c r="F30">
        <f>ROUND((B30*PARAMETRES!B7)+(E30*(1-PARAMETRES!B7)),3)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6" customWidth="1" min="3" max="3"/>
    <col width="14" customWidth="1" min="4" max="4"/>
    <col width="18" customWidth="1" min="5" max="5"/>
    <col width="10" customWidth="1" min="6" max="6"/>
    <col width="16" customWidth="1" min="7" max="7"/>
  </cols>
  <sheetData>
    <row r="1">
      <c r="A1" s="3" t="inlineStr">
        <is>
          <t>Date</t>
        </is>
      </c>
      <c r="B1" s="3" t="inlineStr">
        <is>
          <t>Service</t>
        </is>
      </c>
      <c r="C1" s="3" t="inlineStr">
        <is>
          <t>Plat</t>
        </is>
      </c>
      <c r="D1" s="3" t="inlineStr">
        <is>
          <t>Ratio utilisé</t>
        </is>
      </c>
      <c r="E1" s="3" t="inlineStr">
        <is>
          <t>Quantité calculée</t>
        </is>
      </c>
      <c r="F1" s="3" t="inlineStr">
        <is>
          <t>Unité</t>
        </is>
      </c>
      <c r="G1" s="3" t="inlineStr">
        <is>
          <t>Assigné à</t>
        </is>
      </c>
    </row>
    <row r="2">
      <c r="A2">
        <f>PREVISION_SERVICE!A2</f>
        <v/>
      </c>
      <c r="B2">
        <f>PREVISION_SERVICE!C2</f>
        <v/>
      </c>
      <c r="C2" t="inlineStr">
        <is>
          <t>Accras</t>
        </is>
      </c>
      <c r="D2">
        <f>IFERROR(VLOOKUP(C2,ANALYSE!A:F,6,FALSE),0)</f>
        <v/>
      </c>
      <c r="E2">
        <f>ROUND(PREVISION_SERVICE!D2*D2,1)</f>
        <v/>
      </c>
      <c r="F2" t="inlineStr">
        <is>
          <t>portion</t>
        </is>
      </c>
      <c r="G2" t="inlineStr">
        <is>
          <t>Christelle</t>
        </is>
      </c>
    </row>
    <row r="3">
      <c r="A3">
        <f>PREVISION_SERVICE!A2</f>
        <v/>
      </c>
      <c r="B3">
        <f>PREVISION_SERVICE!C2</f>
        <v/>
      </c>
      <c r="C3" t="inlineStr">
        <is>
          <t>Nems</t>
        </is>
      </c>
      <c r="D3">
        <f>IFERROR(VLOOKUP(C3,ANALYSE!A:F,6,FALSE),0)</f>
        <v/>
      </c>
      <c r="E3">
        <f>ROUND(PREVISION_SERVICE!D2*D3,1)</f>
        <v/>
      </c>
      <c r="F3" t="inlineStr">
        <is>
          <t>portion</t>
        </is>
      </c>
      <c r="G3" t="inlineStr">
        <is>
          <t>Christelle</t>
        </is>
      </c>
    </row>
    <row r="4">
      <c r="A4">
        <f>PREVISION_SERVICE!A2</f>
        <v/>
      </c>
      <c r="B4">
        <f>PREVISION_SERVICE!C2</f>
        <v/>
      </c>
      <c r="C4" t="inlineStr">
        <is>
          <t>Samoussas</t>
        </is>
      </c>
      <c r="D4">
        <f>IFERROR(VLOOKUP(C4,ANALYSE!A:F,6,FALSE),0)</f>
        <v/>
      </c>
      <c r="E4">
        <f>ROUND(PREVISION_SERVICE!D2*D4,1)</f>
        <v/>
      </c>
      <c r="F4" t="inlineStr">
        <is>
          <t>portion</t>
        </is>
      </c>
      <c r="G4" t="inlineStr">
        <is>
          <t>Christelle</t>
        </is>
      </c>
    </row>
    <row r="5">
      <c r="A5">
        <f>PREVISION_SERVICE!A2</f>
        <v/>
      </c>
      <c r="B5">
        <f>PREVISION_SERVICE!C2</f>
        <v/>
      </c>
      <c r="C5" t="inlineStr">
        <is>
          <t>Crevettes tempura</t>
        </is>
      </c>
      <c r="D5">
        <f>IFERROR(VLOOKUP(C5,ANALYSE!A:F,6,FALSE),0)</f>
        <v/>
      </c>
      <c r="E5">
        <f>ROUND(PREVISION_SERVICE!D2*D5,1)</f>
        <v/>
      </c>
      <c r="F5" t="inlineStr">
        <is>
          <t>portion</t>
        </is>
      </c>
      <c r="G5" t="inlineStr">
        <is>
          <t>Christelle</t>
        </is>
      </c>
    </row>
    <row r="6">
      <c r="A6">
        <f>PREVISION_SERVICE!A2</f>
        <v/>
      </c>
      <c r="B6">
        <f>PREVISION_SERVICE!C2</f>
        <v/>
      </c>
      <c r="C6" t="inlineStr">
        <is>
          <t>Pisquettes</t>
        </is>
      </c>
      <c r="D6">
        <f>IFERROR(VLOOKUP(C6,ANALYSE!A:F,6,FALSE),0)</f>
        <v/>
      </c>
      <c r="E6">
        <f>ROUND(PREVISION_SERVICE!D2*D6,1)</f>
        <v/>
      </c>
      <c r="F6" t="inlineStr">
        <is>
          <t>portion</t>
        </is>
      </c>
      <c r="G6" t="inlineStr">
        <is>
          <t>Christelle</t>
        </is>
      </c>
    </row>
    <row r="7">
      <c r="A7">
        <f>PREVISION_SERVICE!A2</f>
        <v/>
      </c>
      <c r="B7">
        <f>PREVISION_SERVICE!C2</f>
        <v/>
      </c>
      <c r="C7" t="inlineStr">
        <is>
          <t>Tapas trio</t>
        </is>
      </c>
      <c r="D7">
        <f>IFERROR(VLOOKUP(C7,ANALYSE!A:F,6,FALSE),0)</f>
        <v/>
      </c>
      <c r="E7">
        <f>ROUND(PREVISION_SERVICE!D2*D7,1)</f>
        <v/>
      </c>
      <c r="F7" t="inlineStr">
        <is>
          <t>portion</t>
        </is>
      </c>
      <c r="G7" t="inlineStr">
        <is>
          <t>Christelle</t>
        </is>
      </c>
    </row>
    <row r="8">
      <c r="A8">
        <f>PREVISION_SERVICE!A2</f>
        <v/>
      </c>
      <c r="B8">
        <f>PREVISION_SERVICE!C2</f>
        <v/>
      </c>
      <c r="C8" t="inlineStr">
        <is>
          <t>Assiette créole</t>
        </is>
      </c>
      <c r="D8">
        <f>IFERROR(VLOOKUP(C8,ANALYSE!A:F,6,FALSE),0)</f>
        <v/>
      </c>
      <c r="E8">
        <f>ROUND(PREVISION_SERVICE!D2*D8,1)</f>
        <v/>
      </c>
      <c r="F8" t="inlineStr">
        <is>
          <t>portion</t>
        </is>
      </c>
      <c r="G8" t="inlineStr">
        <is>
          <t>Christelle</t>
        </is>
      </c>
    </row>
    <row r="9">
      <c r="A9">
        <f>PREVISION_SERVICE!A2</f>
        <v/>
      </c>
      <c r="B9">
        <f>PREVISION_SERVICE!C2</f>
        <v/>
      </c>
      <c r="C9" t="inlineStr">
        <is>
          <t>Salade Cap Est</t>
        </is>
      </c>
      <c r="D9">
        <f>IFERROR(VLOOKUP(C9,ANALYSE!A:F,6,FALSE),0)</f>
        <v/>
      </c>
      <c r="E9">
        <f>ROUND(PREVISION_SERVICE!D2*D9,1)</f>
        <v/>
      </c>
      <c r="F9" t="inlineStr">
        <is>
          <t>portion</t>
        </is>
      </c>
      <c r="G9" t="inlineStr">
        <is>
          <t>Christelle</t>
        </is>
      </c>
    </row>
    <row r="10">
      <c r="A10">
        <f>PREVISION_SERVICE!A2</f>
        <v/>
      </c>
      <c r="B10">
        <f>PREVISION_SERVICE!C2</f>
        <v/>
      </c>
      <c r="C10" t="inlineStr">
        <is>
          <t>Brochette de boeuf</t>
        </is>
      </c>
      <c r="D10">
        <f>IFERROR(VLOOKUP(C10,ANALYSE!A:F,6,FALSE),0)</f>
        <v/>
      </c>
      <c r="E10">
        <f>ROUND(PREVISION_SERVICE!D2*D10,1)</f>
        <v/>
      </c>
      <c r="F10" t="inlineStr">
        <is>
          <t>portion</t>
        </is>
      </c>
      <c r="G10" t="inlineStr">
        <is>
          <t>Ludovic</t>
        </is>
      </c>
    </row>
    <row r="11">
      <c r="A11">
        <f>PREVISION_SERVICE!A2</f>
        <v/>
      </c>
      <c r="B11">
        <f>PREVISION_SERVICE!C2</f>
        <v/>
      </c>
      <c r="C11" t="inlineStr">
        <is>
          <t>Brochette de crevettes</t>
        </is>
      </c>
      <c r="D11">
        <f>IFERROR(VLOOKUP(C11,ANALYSE!A:F,6,FALSE),0)</f>
        <v/>
      </c>
      <c r="E11">
        <f>ROUND(PREVISION_SERVICE!D2*D11,1)</f>
        <v/>
      </c>
      <c r="F11" t="inlineStr">
        <is>
          <t>portion</t>
        </is>
      </c>
      <c r="G11" t="inlineStr">
        <is>
          <t>Ludovic</t>
        </is>
      </c>
    </row>
    <row r="12">
      <c r="A12">
        <f>PREVISION_SERVICE!A2</f>
        <v/>
      </c>
      <c r="B12">
        <f>PREVISION_SERVICE!C2</f>
        <v/>
      </c>
      <c r="C12" t="inlineStr">
        <is>
          <t>Brochette de poisson</t>
        </is>
      </c>
      <c r="D12">
        <f>IFERROR(VLOOKUP(C12,ANALYSE!A:F,6,FALSE),0)</f>
        <v/>
      </c>
      <c r="E12">
        <f>ROUND(PREVISION_SERVICE!D2*D12,1)</f>
        <v/>
      </c>
      <c r="F12" t="inlineStr">
        <is>
          <t>portion</t>
        </is>
      </c>
      <c r="G12" t="inlineStr">
        <is>
          <t>Ludovic</t>
        </is>
      </c>
    </row>
    <row r="13">
      <c r="A13">
        <f>PREVISION_SERVICE!A2</f>
        <v/>
      </c>
      <c r="B13">
        <f>PREVISION_SERVICE!C2</f>
        <v/>
      </c>
      <c r="C13" t="inlineStr">
        <is>
          <t>Brochette de poulet</t>
        </is>
      </c>
      <c r="D13">
        <f>IFERROR(VLOOKUP(C13,ANALYSE!A:F,6,FALSE),0)</f>
        <v/>
      </c>
      <c r="E13">
        <f>ROUND(PREVISION_SERVICE!D2*D13,1)</f>
        <v/>
      </c>
      <c r="F13" t="inlineStr">
        <is>
          <t>portion</t>
        </is>
      </c>
      <c r="G13" t="inlineStr">
        <is>
          <t>Ludovic</t>
        </is>
      </c>
    </row>
    <row r="14">
      <c r="A14">
        <f>PREVISION_SERVICE!A2</f>
        <v/>
      </c>
      <c r="B14">
        <f>PREVISION_SERVICE!C2</f>
        <v/>
      </c>
      <c r="C14" t="inlineStr">
        <is>
          <t>Brochette de légumes</t>
        </is>
      </c>
      <c r="D14">
        <f>IFERROR(VLOOKUP(C14,ANALYSE!A:F,6,FALSE),0)</f>
        <v/>
      </c>
      <c r="E14">
        <f>ROUND(PREVISION_SERVICE!D2*D14,1)</f>
        <v/>
      </c>
      <c r="F14" t="inlineStr">
        <is>
          <t>portion</t>
        </is>
      </c>
      <c r="G14" t="inlineStr">
        <is>
          <t>Ludovic</t>
        </is>
      </c>
    </row>
    <row r="15">
      <c r="A15">
        <f>PREVISION_SERVICE!A2</f>
        <v/>
      </c>
      <c r="B15">
        <f>PREVISION_SERVICE!C2</f>
        <v/>
      </c>
      <c r="C15" t="inlineStr">
        <is>
          <t>Entrecôte</t>
        </is>
      </c>
      <c r="D15">
        <f>IFERROR(VLOOKUP(C15,ANALYSE!A:F,6,FALSE),0)</f>
        <v/>
      </c>
      <c r="E15">
        <f>ROUND(PREVISION_SERVICE!D2*D15,1)</f>
        <v/>
      </c>
      <c r="F15" t="inlineStr">
        <is>
          <t>portion</t>
        </is>
      </c>
      <c r="G15" t="inlineStr">
        <is>
          <t>Ludovic</t>
        </is>
      </c>
    </row>
    <row r="16">
      <c r="A16">
        <f>PREVISION_SERVICE!A2</f>
        <v/>
      </c>
      <c r="B16">
        <f>PREVISION_SERVICE!C2</f>
        <v/>
      </c>
      <c r="C16" t="inlineStr">
        <is>
          <t>Pièce du boucher</t>
        </is>
      </c>
      <c r="D16">
        <f>IFERROR(VLOOKUP(C16,ANALYSE!A:F,6,FALSE),0)</f>
        <v/>
      </c>
      <c r="E16">
        <f>ROUND(PREVISION_SERVICE!D2*D16,1)</f>
        <v/>
      </c>
      <c r="F16" t="inlineStr">
        <is>
          <t>portion</t>
        </is>
      </c>
      <c r="G16" t="inlineStr">
        <is>
          <t>Ludovic</t>
        </is>
      </c>
    </row>
    <row r="17">
      <c r="A17">
        <f>PREVISION_SERVICE!A2</f>
        <v/>
      </c>
      <c r="B17">
        <f>PREVISION_SERVICE!C2</f>
        <v/>
      </c>
      <c r="C17" t="inlineStr">
        <is>
          <t>Magret de canard</t>
        </is>
      </c>
      <c r="D17">
        <f>IFERROR(VLOOKUP(C17,ANALYSE!A:F,6,FALSE),0)</f>
        <v/>
      </c>
      <c r="E17">
        <f>ROUND(PREVISION_SERVICE!D2*D17,1)</f>
        <v/>
      </c>
      <c r="F17" t="inlineStr">
        <is>
          <t>portion</t>
        </is>
      </c>
      <c r="G17" t="inlineStr">
        <is>
          <t>Ludovic</t>
        </is>
      </c>
    </row>
    <row r="18">
      <c r="A18">
        <f>PREVISION_SERVICE!A2</f>
        <v/>
      </c>
      <c r="B18">
        <f>PREVISION_SERVICE!C2</f>
        <v/>
      </c>
      <c r="C18" t="inlineStr">
        <is>
          <t>Côte de boeuf</t>
        </is>
      </c>
      <c r="D18">
        <f>IFERROR(VLOOKUP(C18,ANALYSE!A:F,6,FALSE),0)</f>
        <v/>
      </c>
      <c r="E18">
        <f>ROUND(PREVISION_SERVICE!D2*D18,1)</f>
        <v/>
      </c>
      <c r="F18" t="inlineStr">
        <is>
          <t>portion</t>
        </is>
      </c>
      <c r="G18" t="inlineStr">
        <is>
          <t>Ludovic</t>
        </is>
      </c>
    </row>
    <row r="19">
      <c r="A19">
        <f>PREVISION_SERVICE!A2</f>
        <v/>
      </c>
      <c r="B19">
        <f>PREVISION_SERVICE!C2</f>
        <v/>
      </c>
      <c r="C19" t="inlineStr">
        <is>
          <t>Filet de poisson frais</t>
        </is>
      </c>
      <c r="D19">
        <f>IFERROR(VLOOKUP(C19,ANALYSE!A:F,6,FALSE),0)</f>
        <v/>
      </c>
      <c r="E19">
        <f>ROUND(PREVISION_SERVICE!D2*D19,1)</f>
        <v/>
      </c>
      <c r="F19" t="inlineStr">
        <is>
          <t>portion</t>
        </is>
      </c>
      <c r="G19" t="inlineStr">
        <is>
          <t>Ludovic</t>
        </is>
      </c>
    </row>
    <row r="20">
      <c r="A20">
        <f>PREVISION_SERVICE!A2</f>
        <v/>
      </c>
      <c r="B20">
        <f>PREVISION_SERVICE!C2</f>
        <v/>
      </c>
      <c r="C20" t="inlineStr">
        <is>
          <t>Tartare de poisson</t>
        </is>
      </c>
      <c r="D20">
        <f>IFERROR(VLOOKUP(C20,ANALYSE!A:F,6,FALSE),0)</f>
        <v/>
      </c>
      <c r="E20">
        <f>ROUND(PREVISION_SERVICE!D2*D20,1)</f>
        <v/>
      </c>
      <c r="F20" t="inlineStr">
        <is>
          <t>portion</t>
        </is>
      </c>
      <c r="G20" t="inlineStr">
        <is>
          <t>Ludovic</t>
        </is>
      </c>
    </row>
    <row r="21">
      <c r="A21">
        <f>PREVISION_SERVICE!A2</f>
        <v/>
      </c>
      <c r="B21">
        <f>PREVISION_SERVICE!C2</f>
        <v/>
      </c>
      <c r="C21" t="inlineStr">
        <is>
          <t>Frites maison</t>
        </is>
      </c>
      <c r="D21">
        <f>IFERROR(VLOOKUP(C21,ANALYSE!A:F,6,FALSE),0)</f>
        <v/>
      </c>
      <c r="E21">
        <f>ROUND(PREVISION_SERVICE!D2*D21,1)</f>
        <v/>
      </c>
      <c r="F21" t="inlineStr">
        <is>
          <t>portion</t>
        </is>
      </c>
      <c r="G21" t="inlineStr">
        <is>
          <t>Ludovic</t>
        </is>
      </c>
    </row>
    <row r="22">
      <c r="A22">
        <f>PREVISION_SERVICE!A2</f>
        <v/>
      </c>
      <c r="B22">
        <f>PREVISION_SERVICE!C2</f>
        <v/>
      </c>
      <c r="C22" t="inlineStr">
        <is>
          <t>Salade</t>
        </is>
      </c>
      <c r="D22">
        <f>IFERROR(VLOOKUP(C22,ANALYSE!A:F,6,FALSE),0)</f>
        <v/>
      </c>
      <c r="E22">
        <f>ROUND(PREVISION_SERVICE!D2*D22,1)</f>
        <v/>
      </c>
      <c r="F22" t="inlineStr">
        <is>
          <t>portion</t>
        </is>
      </c>
      <c r="G22" t="inlineStr">
        <is>
          <t>Christelle</t>
        </is>
      </c>
    </row>
    <row r="23">
      <c r="A23">
        <f>PREVISION_SERVICE!A2</f>
        <v/>
      </c>
      <c r="B23">
        <f>PREVISION_SERVICE!C2</f>
        <v/>
      </c>
      <c r="C23" t="inlineStr">
        <is>
          <t>Légumes variés</t>
        </is>
      </c>
      <c r="D23">
        <f>IFERROR(VLOOKUP(C23,ANALYSE!A:F,6,FALSE),0)</f>
        <v/>
      </c>
      <c r="E23">
        <f>ROUND(PREVISION_SERVICE!D2*D23,1)</f>
        <v/>
      </c>
      <c r="F23" t="inlineStr">
        <is>
          <t>portion</t>
        </is>
      </c>
      <c r="G23" t="inlineStr">
        <is>
          <t>Christelle</t>
        </is>
      </c>
    </row>
    <row r="24">
      <c r="A24">
        <f>PREVISION_SERVICE!A2</f>
        <v/>
      </c>
      <c r="B24">
        <f>PREVISION_SERVICE!C2</f>
        <v/>
      </c>
      <c r="C24" t="inlineStr">
        <is>
          <t>Gratin</t>
        </is>
      </c>
      <c r="D24">
        <f>IFERROR(VLOOKUP(C24,ANALYSE!A:F,6,FALSE),0)</f>
        <v/>
      </c>
      <c r="E24">
        <f>ROUND(PREVISION_SERVICE!D2*D24,1)</f>
        <v/>
      </c>
      <c r="F24" t="inlineStr">
        <is>
          <t>portion</t>
        </is>
      </c>
      <c r="G24" t="inlineStr">
        <is>
          <t>Christelle</t>
        </is>
      </c>
    </row>
    <row r="25">
      <c r="A25">
        <f>PREVISION_SERVICE!A2</f>
        <v/>
      </c>
      <c r="B25">
        <f>PREVISION_SERVICE!C2</f>
        <v/>
      </c>
      <c r="C25" t="inlineStr">
        <is>
          <t>Fondant chocolat</t>
        </is>
      </c>
      <c r="D25">
        <f>IFERROR(VLOOKUP(C25,ANALYSE!A:F,6,FALSE),0)</f>
        <v/>
      </c>
      <c r="E25">
        <f>ROUND(PREVISION_SERVICE!D2*D25,1)</f>
        <v/>
      </c>
      <c r="F25" t="inlineStr">
        <is>
          <t>portion</t>
        </is>
      </c>
      <c r="G25" t="inlineStr">
        <is>
          <t>Christelle</t>
        </is>
      </c>
    </row>
    <row r="26">
      <c r="A26">
        <f>PREVISION_SERVICE!A2</f>
        <v/>
      </c>
      <c r="B26">
        <f>PREVISION_SERVICE!C2</f>
        <v/>
      </c>
      <c r="C26" t="inlineStr">
        <is>
          <t>Tartelettes</t>
        </is>
      </c>
      <c r="D26">
        <f>IFERROR(VLOOKUP(C26,ANALYSE!A:F,6,FALSE),0)</f>
        <v/>
      </c>
      <c r="E26">
        <f>ROUND(PREVISION_SERVICE!D2*D26,1)</f>
        <v/>
      </c>
      <c r="F26" t="inlineStr">
        <is>
          <t>portion</t>
        </is>
      </c>
      <c r="G26" t="inlineStr">
        <is>
          <t>Christelle</t>
        </is>
      </c>
    </row>
    <row r="27">
      <c r="A27">
        <f>PREVISION_SERVICE!A2</f>
        <v/>
      </c>
      <c r="B27">
        <f>PREVISION_SERVICE!C2</f>
        <v/>
      </c>
      <c r="C27" t="inlineStr">
        <is>
          <t>Profiteroles</t>
        </is>
      </c>
      <c r="D27">
        <f>IFERROR(VLOOKUP(C27,ANALYSE!A:F,6,FALSE),0)</f>
        <v/>
      </c>
      <c r="E27">
        <f>ROUND(PREVISION_SERVICE!D2*D27,1)</f>
        <v/>
      </c>
      <c r="F27" t="inlineStr">
        <is>
          <t>portion</t>
        </is>
      </c>
      <c r="G27" t="inlineStr">
        <is>
          <t>Christelle</t>
        </is>
      </c>
    </row>
    <row r="28">
      <c r="A28">
        <f>PREVISION_SERVICE!A2</f>
        <v/>
      </c>
      <c r="B28">
        <f>PREVISION_SERVICE!C2</f>
        <v/>
      </c>
      <c r="C28" t="inlineStr">
        <is>
          <t>Gaufres</t>
        </is>
      </c>
      <c r="D28">
        <f>IFERROR(VLOOKUP(C28,ANALYSE!A:F,6,FALSE),0)</f>
        <v/>
      </c>
      <c r="E28">
        <f>ROUND(PREVISION_SERVICE!D2*D28,1)</f>
        <v/>
      </c>
      <c r="F28" t="inlineStr">
        <is>
          <t>portion</t>
        </is>
      </c>
      <c r="G28" t="inlineStr">
        <is>
          <t>Christelle</t>
        </is>
      </c>
    </row>
    <row r="29">
      <c r="A29">
        <f>PREVISION_SERVICE!A2</f>
        <v/>
      </c>
      <c r="B29">
        <f>PREVISION_SERVICE!C2</f>
        <v/>
      </c>
      <c r="C29" t="inlineStr">
        <is>
          <t>Compotée</t>
        </is>
      </c>
      <c r="D29">
        <f>IFERROR(VLOOKUP(C29,ANALYSE!A:F,6,FALSE),0)</f>
        <v/>
      </c>
      <c r="E29">
        <f>ROUND(PREVISION_SERVICE!D2*D29,1)</f>
        <v/>
      </c>
      <c r="F29" t="inlineStr">
        <is>
          <t>portion</t>
        </is>
      </c>
      <c r="G29" t="inlineStr">
        <is>
          <t>Christelle</t>
        </is>
      </c>
    </row>
    <row r="30">
      <c r="A30">
        <f>PREVISION_SERVICE!A2</f>
        <v/>
      </c>
      <c r="B30">
        <f>PREVISION_SERVICE!C2</f>
        <v/>
      </c>
      <c r="C30" t="inlineStr">
        <is>
          <t>Boule de glace</t>
        </is>
      </c>
      <c r="D30">
        <f>IFERROR(VLOOKUP(C30,ANALYSE!A:F,6,FALSE),0)</f>
        <v/>
      </c>
      <c r="E30">
        <f>ROUND(PREVISION_SERVICE!D2*D30,1)</f>
        <v/>
      </c>
      <c r="F30" t="inlineStr">
        <is>
          <t>portion</t>
        </is>
      </c>
      <c r="G30" t="inlineStr">
        <is>
          <t>Christelle</t>
        </is>
      </c>
    </row>
    <row r="31">
      <c r="A31">
        <f>PREVISION_SERVICE!A3</f>
        <v/>
      </c>
      <c r="B31">
        <f>PREVISION_SERVICE!C3</f>
        <v/>
      </c>
      <c r="C31" t="inlineStr">
        <is>
          <t>Accras</t>
        </is>
      </c>
      <c r="D31">
        <f>IFERROR(VLOOKUP(C31,ANALYSE!A:F,6,FALSE),0)</f>
        <v/>
      </c>
      <c r="E31">
        <f>ROUND(PREVISION_SERVICE!D3*D31,1)</f>
        <v/>
      </c>
      <c r="F31" t="inlineStr">
        <is>
          <t>portion</t>
        </is>
      </c>
      <c r="G31" t="inlineStr">
        <is>
          <t>Christelle</t>
        </is>
      </c>
    </row>
    <row r="32">
      <c r="A32">
        <f>PREVISION_SERVICE!A3</f>
        <v/>
      </c>
      <c r="B32">
        <f>PREVISION_SERVICE!C3</f>
        <v/>
      </c>
      <c r="C32" t="inlineStr">
        <is>
          <t>Nems</t>
        </is>
      </c>
      <c r="D32">
        <f>IFERROR(VLOOKUP(C32,ANALYSE!A:F,6,FALSE),0)</f>
        <v/>
      </c>
      <c r="E32">
        <f>ROUND(PREVISION_SERVICE!D3*D32,1)</f>
        <v/>
      </c>
      <c r="F32" t="inlineStr">
        <is>
          <t>portion</t>
        </is>
      </c>
      <c r="G32" t="inlineStr">
        <is>
          <t>Christelle</t>
        </is>
      </c>
    </row>
    <row r="33">
      <c r="A33">
        <f>PREVISION_SERVICE!A3</f>
        <v/>
      </c>
      <c r="B33">
        <f>PREVISION_SERVICE!C3</f>
        <v/>
      </c>
      <c r="C33" t="inlineStr">
        <is>
          <t>Samoussas</t>
        </is>
      </c>
      <c r="D33">
        <f>IFERROR(VLOOKUP(C33,ANALYSE!A:F,6,FALSE),0)</f>
        <v/>
      </c>
      <c r="E33">
        <f>ROUND(PREVISION_SERVICE!D3*D33,1)</f>
        <v/>
      </c>
      <c r="F33" t="inlineStr">
        <is>
          <t>portion</t>
        </is>
      </c>
      <c r="G33" t="inlineStr">
        <is>
          <t>Christelle</t>
        </is>
      </c>
    </row>
    <row r="34">
      <c r="A34">
        <f>PREVISION_SERVICE!A3</f>
        <v/>
      </c>
      <c r="B34">
        <f>PREVISION_SERVICE!C3</f>
        <v/>
      </c>
      <c r="C34" t="inlineStr">
        <is>
          <t>Crevettes tempura</t>
        </is>
      </c>
      <c r="D34">
        <f>IFERROR(VLOOKUP(C34,ANALYSE!A:F,6,FALSE),0)</f>
        <v/>
      </c>
      <c r="E34">
        <f>ROUND(PREVISION_SERVICE!D3*D34,1)</f>
        <v/>
      </c>
      <c r="F34" t="inlineStr">
        <is>
          <t>portion</t>
        </is>
      </c>
      <c r="G34" t="inlineStr">
        <is>
          <t>Christelle</t>
        </is>
      </c>
    </row>
    <row r="35">
      <c r="A35">
        <f>PREVISION_SERVICE!A3</f>
        <v/>
      </c>
      <c r="B35">
        <f>PREVISION_SERVICE!C3</f>
        <v/>
      </c>
      <c r="C35" t="inlineStr">
        <is>
          <t>Pisquettes</t>
        </is>
      </c>
      <c r="D35">
        <f>IFERROR(VLOOKUP(C35,ANALYSE!A:F,6,FALSE),0)</f>
        <v/>
      </c>
      <c r="E35">
        <f>ROUND(PREVISION_SERVICE!D3*D35,1)</f>
        <v/>
      </c>
      <c r="F35" t="inlineStr">
        <is>
          <t>portion</t>
        </is>
      </c>
      <c r="G35" t="inlineStr">
        <is>
          <t>Christelle</t>
        </is>
      </c>
    </row>
    <row r="36">
      <c r="A36">
        <f>PREVISION_SERVICE!A3</f>
        <v/>
      </c>
      <c r="B36">
        <f>PREVISION_SERVICE!C3</f>
        <v/>
      </c>
      <c r="C36" t="inlineStr">
        <is>
          <t>Tapas trio</t>
        </is>
      </c>
      <c r="D36">
        <f>IFERROR(VLOOKUP(C36,ANALYSE!A:F,6,FALSE),0)</f>
        <v/>
      </c>
      <c r="E36">
        <f>ROUND(PREVISION_SERVICE!D3*D36,1)</f>
        <v/>
      </c>
      <c r="F36" t="inlineStr">
        <is>
          <t>portion</t>
        </is>
      </c>
      <c r="G36" t="inlineStr">
        <is>
          <t>Christelle</t>
        </is>
      </c>
    </row>
    <row r="37">
      <c r="A37">
        <f>PREVISION_SERVICE!A3</f>
        <v/>
      </c>
      <c r="B37">
        <f>PREVISION_SERVICE!C3</f>
        <v/>
      </c>
      <c r="C37" t="inlineStr">
        <is>
          <t>Assiette créole</t>
        </is>
      </c>
      <c r="D37">
        <f>IFERROR(VLOOKUP(C37,ANALYSE!A:F,6,FALSE),0)</f>
        <v/>
      </c>
      <c r="E37">
        <f>ROUND(PREVISION_SERVICE!D3*D37,1)</f>
        <v/>
      </c>
      <c r="F37" t="inlineStr">
        <is>
          <t>portion</t>
        </is>
      </c>
      <c r="G37" t="inlineStr">
        <is>
          <t>Christelle</t>
        </is>
      </c>
    </row>
    <row r="38">
      <c r="A38">
        <f>PREVISION_SERVICE!A3</f>
        <v/>
      </c>
      <c r="B38">
        <f>PREVISION_SERVICE!C3</f>
        <v/>
      </c>
      <c r="C38" t="inlineStr">
        <is>
          <t>Salade Cap Est</t>
        </is>
      </c>
      <c r="D38">
        <f>IFERROR(VLOOKUP(C38,ANALYSE!A:F,6,FALSE),0)</f>
        <v/>
      </c>
      <c r="E38">
        <f>ROUND(PREVISION_SERVICE!D3*D38,1)</f>
        <v/>
      </c>
      <c r="F38" t="inlineStr">
        <is>
          <t>portion</t>
        </is>
      </c>
      <c r="G38" t="inlineStr">
        <is>
          <t>Christelle</t>
        </is>
      </c>
    </row>
    <row r="39">
      <c r="A39">
        <f>PREVISION_SERVICE!A3</f>
        <v/>
      </c>
      <c r="B39">
        <f>PREVISION_SERVICE!C3</f>
        <v/>
      </c>
      <c r="C39" t="inlineStr">
        <is>
          <t>Brochette de boeuf</t>
        </is>
      </c>
      <c r="D39">
        <f>IFERROR(VLOOKUP(C39,ANALYSE!A:F,6,FALSE),0)</f>
        <v/>
      </c>
      <c r="E39">
        <f>ROUND(PREVISION_SERVICE!D3*D39,1)</f>
        <v/>
      </c>
      <c r="F39" t="inlineStr">
        <is>
          <t>portion</t>
        </is>
      </c>
      <c r="G39" t="inlineStr">
        <is>
          <t>Ludovic</t>
        </is>
      </c>
    </row>
    <row r="40">
      <c r="A40">
        <f>PREVISION_SERVICE!A3</f>
        <v/>
      </c>
      <c r="B40">
        <f>PREVISION_SERVICE!C3</f>
        <v/>
      </c>
      <c r="C40" t="inlineStr">
        <is>
          <t>Brochette de crevettes</t>
        </is>
      </c>
      <c r="D40">
        <f>IFERROR(VLOOKUP(C40,ANALYSE!A:F,6,FALSE),0)</f>
        <v/>
      </c>
      <c r="E40">
        <f>ROUND(PREVISION_SERVICE!D3*D40,1)</f>
        <v/>
      </c>
      <c r="F40" t="inlineStr">
        <is>
          <t>portion</t>
        </is>
      </c>
      <c r="G40" t="inlineStr">
        <is>
          <t>Ludovic</t>
        </is>
      </c>
    </row>
    <row r="41">
      <c r="A41">
        <f>PREVISION_SERVICE!A3</f>
        <v/>
      </c>
      <c r="B41">
        <f>PREVISION_SERVICE!C3</f>
        <v/>
      </c>
      <c r="C41" t="inlineStr">
        <is>
          <t>Brochette de poisson</t>
        </is>
      </c>
      <c r="D41">
        <f>IFERROR(VLOOKUP(C41,ANALYSE!A:F,6,FALSE),0)</f>
        <v/>
      </c>
      <c r="E41">
        <f>ROUND(PREVISION_SERVICE!D3*D41,1)</f>
        <v/>
      </c>
      <c r="F41" t="inlineStr">
        <is>
          <t>portion</t>
        </is>
      </c>
      <c r="G41" t="inlineStr">
        <is>
          <t>Ludovic</t>
        </is>
      </c>
    </row>
    <row r="42">
      <c r="A42">
        <f>PREVISION_SERVICE!A3</f>
        <v/>
      </c>
      <c r="B42">
        <f>PREVISION_SERVICE!C3</f>
        <v/>
      </c>
      <c r="C42" t="inlineStr">
        <is>
          <t>Brochette de poulet</t>
        </is>
      </c>
      <c r="D42">
        <f>IFERROR(VLOOKUP(C42,ANALYSE!A:F,6,FALSE),0)</f>
        <v/>
      </c>
      <c r="E42">
        <f>ROUND(PREVISION_SERVICE!D3*D42,1)</f>
        <v/>
      </c>
      <c r="F42" t="inlineStr">
        <is>
          <t>portion</t>
        </is>
      </c>
      <c r="G42" t="inlineStr">
        <is>
          <t>Ludovic</t>
        </is>
      </c>
    </row>
    <row r="43">
      <c r="A43">
        <f>PREVISION_SERVICE!A3</f>
        <v/>
      </c>
      <c r="B43">
        <f>PREVISION_SERVICE!C3</f>
        <v/>
      </c>
      <c r="C43" t="inlineStr">
        <is>
          <t>Brochette de légumes</t>
        </is>
      </c>
      <c r="D43">
        <f>IFERROR(VLOOKUP(C43,ANALYSE!A:F,6,FALSE),0)</f>
        <v/>
      </c>
      <c r="E43">
        <f>ROUND(PREVISION_SERVICE!D3*D43,1)</f>
        <v/>
      </c>
      <c r="F43" t="inlineStr">
        <is>
          <t>portion</t>
        </is>
      </c>
      <c r="G43" t="inlineStr">
        <is>
          <t>Ludovic</t>
        </is>
      </c>
    </row>
    <row r="44">
      <c r="A44">
        <f>PREVISION_SERVICE!A3</f>
        <v/>
      </c>
      <c r="B44">
        <f>PREVISION_SERVICE!C3</f>
        <v/>
      </c>
      <c r="C44" t="inlineStr">
        <is>
          <t>Entrecôte</t>
        </is>
      </c>
      <c r="D44">
        <f>IFERROR(VLOOKUP(C44,ANALYSE!A:F,6,FALSE),0)</f>
        <v/>
      </c>
      <c r="E44">
        <f>ROUND(PREVISION_SERVICE!D3*D44,1)</f>
        <v/>
      </c>
      <c r="F44" t="inlineStr">
        <is>
          <t>portion</t>
        </is>
      </c>
      <c r="G44" t="inlineStr">
        <is>
          <t>Ludovic</t>
        </is>
      </c>
    </row>
    <row r="45">
      <c r="A45">
        <f>PREVISION_SERVICE!A3</f>
        <v/>
      </c>
      <c r="B45">
        <f>PREVISION_SERVICE!C3</f>
        <v/>
      </c>
      <c r="C45" t="inlineStr">
        <is>
          <t>Pièce du boucher</t>
        </is>
      </c>
      <c r="D45">
        <f>IFERROR(VLOOKUP(C45,ANALYSE!A:F,6,FALSE),0)</f>
        <v/>
      </c>
      <c r="E45">
        <f>ROUND(PREVISION_SERVICE!D3*D45,1)</f>
        <v/>
      </c>
      <c r="F45" t="inlineStr">
        <is>
          <t>portion</t>
        </is>
      </c>
      <c r="G45" t="inlineStr">
        <is>
          <t>Ludovic</t>
        </is>
      </c>
    </row>
    <row r="46">
      <c r="A46">
        <f>PREVISION_SERVICE!A3</f>
        <v/>
      </c>
      <c r="B46">
        <f>PREVISION_SERVICE!C3</f>
        <v/>
      </c>
      <c r="C46" t="inlineStr">
        <is>
          <t>Magret de canard</t>
        </is>
      </c>
      <c r="D46">
        <f>IFERROR(VLOOKUP(C46,ANALYSE!A:F,6,FALSE),0)</f>
        <v/>
      </c>
      <c r="E46">
        <f>ROUND(PREVISION_SERVICE!D3*D46,1)</f>
        <v/>
      </c>
      <c r="F46" t="inlineStr">
        <is>
          <t>portion</t>
        </is>
      </c>
      <c r="G46" t="inlineStr">
        <is>
          <t>Ludovic</t>
        </is>
      </c>
    </row>
    <row r="47">
      <c r="A47">
        <f>PREVISION_SERVICE!A3</f>
        <v/>
      </c>
      <c r="B47">
        <f>PREVISION_SERVICE!C3</f>
        <v/>
      </c>
      <c r="C47" t="inlineStr">
        <is>
          <t>Côte de boeuf</t>
        </is>
      </c>
      <c r="D47">
        <f>IFERROR(VLOOKUP(C47,ANALYSE!A:F,6,FALSE),0)</f>
        <v/>
      </c>
      <c r="E47">
        <f>ROUND(PREVISION_SERVICE!D3*D47,1)</f>
        <v/>
      </c>
      <c r="F47" t="inlineStr">
        <is>
          <t>portion</t>
        </is>
      </c>
      <c r="G47" t="inlineStr">
        <is>
          <t>Ludovic</t>
        </is>
      </c>
    </row>
    <row r="48">
      <c r="A48">
        <f>PREVISION_SERVICE!A3</f>
        <v/>
      </c>
      <c r="B48">
        <f>PREVISION_SERVICE!C3</f>
        <v/>
      </c>
      <c r="C48" t="inlineStr">
        <is>
          <t>Filet de poisson frais</t>
        </is>
      </c>
      <c r="D48">
        <f>IFERROR(VLOOKUP(C48,ANALYSE!A:F,6,FALSE),0)</f>
        <v/>
      </c>
      <c r="E48">
        <f>ROUND(PREVISION_SERVICE!D3*D48,1)</f>
        <v/>
      </c>
      <c r="F48" t="inlineStr">
        <is>
          <t>portion</t>
        </is>
      </c>
      <c r="G48" t="inlineStr">
        <is>
          <t>Ludovic</t>
        </is>
      </c>
    </row>
    <row r="49">
      <c r="A49">
        <f>PREVISION_SERVICE!A3</f>
        <v/>
      </c>
      <c r="B49">
        <f>PREVISION_SERVICE!C3</f>
        <v/>
      </c>
      <c r="C49" t="inlineStr">
        <is>
          <t>Tartare de poisson</t>
        </is>
      </c>
      <c r="D49">
        <f>IFERROR(VLOOKUP(C49,ANALYSE!A:F,6,FALSE),0)</f>
        <v/>
      </c>
      <c r="E49">
        <f>ROUND(PREVISION_SERVICE!D3*D49,1)</f>
        <v/>
      </c>
      <c r="F49" t="inlineStr">
        <is>
          <t>portion</t>
        </is>
      </c>
      <c r="G49" t="inlineStr">
        <is>
          <t>Ludovic</t>
        </is>
      </c>
    </row>
    <row r="50">
      <c r="A50">
        <f>PREVISION_SERVICE!A3</f>
        <v/>
      </c>
      <c r="B50">
        <f>PREVISION_SERVICE!C3</f>
        <v/>
      </c>
      <c r="C50" t="inlineStr">
        <is>
          <t>Frites maison</t>
        </is>
      </c>
      <c r="D50">
        <f>IFERROR(VLOOKUP(C50,ANALYSE!A:F,6,FALSE),0)</f>
        <v/>
      </c>
      <c r="E50">
        <f>ROUND(PREVISION_SERVICE!D3*D50,1)</f>
        <v/>
      </c>
      <c r="F50" t="inlineStr">
        <is>
          <t>portion</t>
        </is>
      </c>
      <c r="G50" t="inlineStr">
        <is>
          <t>Ludovic</t>
        </is>
      </c>
    </row>
    <row r="51">
      <c r="A51">
        <f>PREVISION_SERVICE!A3</f>
        <v/>
      </c>
      <c r="B51">
        <f>PREVISION_SERVICE!C3</f>
        <v/>
      </c>
      <c r="C51" t="inlineStr">
        <is>
          <t>Salade</t>
        </is>
      </c>
      <c r="D51">
        <f>IFERROR(VLOOKUP(C51,ANALYSE!A:F,6,FALSE),0)</f>
        <v/>
      </c>
      <c r="E51">
        <f>ROUND(PREVISION_SERVICE!D3*D51,1)</f>
        <v/>
      </c>
      <c r="F51" t="inlineStr">
        <is>
          <t>portion</t>
        </is>
      </c>
      <c r="G51" t="inlineStr">
        <is>
          <t>Christelle</t>
        </is>
      </c>
    </row>
    <row r="52">
      <c r="A52">
        <f>PREVISION_SERVICE!A3</f>
        <v/>
      </c>
      <c r="B52">
        <f>PREVISION_SERVICE!C3</f>
        <v/>
      </c>
      <c r="C52" t="inlineStr">
        <is>
          <t>Légumes variés</t>
        </is>
      </c>
      <c r="D52">
        <f>IFERROR(VLOOKUP(C52,ANALYSE!A:F,6,FALSE),0)</f>
        <v/>
      </c>
      <c r="E52">
        <f>ROUND(PREVISION_SERVICE!D3*D52,1)</f>
        <v/>
      </c>
      <c r="F52" t="inlineStr">
        <is>
          <t>portion</t>
        </is>
      </c>
      <c r="G52" t="inlineStr">
        <is>
          <t>Christelle</t>
        </is>
      </c>
    </row>
    <row r="53">
      <c r="A53">
        <f>PREVISION_SERVICE!A3</f>
        <v/>
      </c>
      <c r="B53">
        <f>PREVISION_SERVICE!C3</f>
        <v/>
      </c>
      <c r="C53" t="inlineStr">
        <is>
          <t>Gratin</t>
        </is>
      </c>
      <c r="D53">
        <f>IFERROR(VLOOKUP(C53,ANALYSE!A:F,6,FALSE),0)</f>
        <v/>
      </c>
      <c r="E53">
        <f>ROUND(PREVISION_SERVICE!D3*D53,1)</f>
        <v/>
      </c>
      <c r="F53" t="inlineStr">
        <is>
          <t>portion</t>
        </is>
      </c>
      <c r="G53" t="inlineStr">
        <is>
          <t>Christelle</t>
        </is>
      </c>
    </row>
    <row r="54">
      <c r="A54">
        <f>PREVISION_SERVICE!A3</f>
        <v/>
      </c>
      <c r="B54">
        <f>PREVISION_SERVICE!C3</f>
        <v/>
      </c>
      <c r="C54" t="inlineStr">
        <is>
          <t>Fondant chocolat</t>
        </is>
      </c>
      <c r="D54">
        <f>IFERROR(VLOOKUP(C54,ANALYSE!A:F,6,FALSE),0)</f>
        <v/>
      </c>
      <c r="E54">
        <f>ROUND(PREVISION_SERVICE!D3*D54,1)</f>
        <v/>
      </c>
      <c r="F54" t="inlineStr">
        <is>
          <t>portion</t>
        </is>
      </c>
      <c r="G54" t="inlineStr">
        <is>
          <t>Christelle</t>
        </is>
      </c>
    </row>
    <row r="55">
      <c r="A55">
        <f>PREVISION_SERVICE!A3</f>
        <v/>
      </c>
      <c r="B55">
        <f>PREVISION_SERVICE!C3</f>
        <v/>
      </c>
      <c r="C55" t="inlineStr">
        <is>
          <t>Tartelettes</t>
        </is>
      </c>
      <c r="D55">
        <f>IFERROR(VLOOKUP(C55,ANALYSE!A:F,6,FALSE),0)</f>
        <v/>
      </c>
      <c r="E55">
        <f>ROUND(PREVISION_SERVICE!D3*D55,1)</f>
        <v/>
      </c>
      <c r="F55" t="inlineStr">
        <is>
          <t>portion</t>
        </is>
      </c>
      <c r="G55" t="inlineStr">
        <is>
          <t>Christelle</t>
        </is>
      </c>
    </row>
    <row r="56">
      <c r="A56">
        <f>PREVISION_SERVICE!A3</f>
        <v/>
      </c>
      <c r="B56">
        <f>PREVISION_SERVICE!C3</f>
        <v/>
      </c>
      <c r="C56" t="inlineStr">
        <is>
          <t>Profiteroles</t>
        </is>
      </c>
      <c r="D56">
        <f>IFERROR(VLOOKUP(C56,ANALYSE!A:F,6,FALSE),0)</f>
        <v/>
      </c>
      <c r="E56">
        <f>ROUND(PREVISION_SERVICE!D3*D56,1)</f>
        <v/>
      </c>
      <c r="F56" t="inlineStr">
        <is>
          <t>portion</t>
        </is>
      </c>
      <c r="G56" t="inlineStr">
        <is>
          <t>Christelle</t>
        </is>
      </c>
    </row>
    <row r="57">
      <c r="A57">
        <f>PREVISION_SERVICE!A3</f>
        <v/>
      </c>
      <c r="B57">
        <f>PREVISION_SERVICE!C3</f>
        <v/>
      </c>
      <c r="C57" t="inlineStr">
        <is>
          <t>Gaufres</t>
        </is>
      </c>
      <c r="D57">
        <f>IFERROR(VLOOKUP(C57,ANALYSE!A:F,6,FALSE),0)</f>
        <v/>
      </c>
      <c r="E57">
        <f>ROUND(PREVISION_SERVICE!D3*D57,1)</f>
        <v/>
      </c>
      <c r="F57" t="inlineStr">
        <is>
          <t>portion</t>
        </is>
      </c>
      <c r="G57" t="inlineStr">
        <is>
          <t>Christelle</t>
        </is>
      </c>
    </row>
    <row r="58">
      <c r="A58">
        <f>PREVISION_SERVICE!A3</f>
        <v/>
      </c>
      <c r="B58">
        <f>PREVISION_SERVICE!C3</f>
        <v/>
      </c>
      <c r="C58" t="inlineStr">
        <is>
          <t>Compotée</t>
        </is>
      </c>
      <c r="D58">
        <f>IFERROR(VLOOKUP(C58,ANALYSE!A:F,6,FALSE),0)</f>
        <v/>
      </c>
      <c r="E58">
        <f>ROUND(PREVISION_SERVICE!D3*D58,1)</f>
        <v/>
      </c>
      <c r="F58" t="inlineStr">
        <is>
          <t>portion</t>
        </is>
      </c>
      <c r="G58" t="inlineStr">
        <is>
          <t>Christelle</t>
        </is>
      </c>
    </row>
    <row r="59">
      <c r="A59">
        <f>PREVISION_SERVICE!A3</f>
        <v/>
      </c>
      <c r="B59">
        <f>PREVISION_SERVICE!C3</f>
        <v/>
      </c>
      <c r="C59" t="inlineStr">
        <is>
          <t>Boule de glace</t>
        </is>
      </c>
      <c r="D59">
        <f>IFERROR(VLOOKUP(C59,ANALYSE!A:F,6,FALSE),0)</f>
        <v/>
      </c>
      <c r="E59">
        <f>ROUND(PREVISION_SERVICE!D3*D59,1)</f>
        <v/>
      </c>
      <c r="F59" t="inlineStr">
        <is>
          <t>portion</t>
        </is>
      </c>
      <c r="G59" t="inlineStr">
        <is>
          <t>Christelle</t>
        </is>
      </c>
    </row>
    <row r="60">
      <c r="A60">
        <f>PREVISION_SERVICE!A4</f>
        <v/>
      </c>
      <c r="B60">
        <f>PREVISION_SERVICE!C4</f>
        <v/>
      </c>
      <c r="C60" t="inlineStr">
        <is>
          <t>Accras</t>
        </is>
      </c>
      <c r="D60">
        <f>IFERROR(VLOOKUP(C60,ANALYSE!A:F,6,FALSE),0)</f>
        <v/>
      </c>
      <c r="E60">
        <f>ROUND(PREVISION_SERVICE!D4*D60,1)</f>
        <v/>
      </c>
      <c r="F60" t="inlineStr">
        <is>
          <t>portion</t>
        </is>
      </c>
      <c r="G60" t="inlineStr">
        <is>
          <t>Christelle</t>
        </is>
      </c>
    </row>
    <row r="61">
      <c r="A61">
        <f>PREVISION_SERVICE!A4</f>
        <v/>
      </c>
      <c r="B61">
        <f>PREVISION_SERVICE!C4</f>
        <v/>
      </c>
      <c r="C61" t="inlineStr">
        <is>
          <t>Nems</t>
        </is>
      </c>
      <c r="D61">
        <f>IFERROR(VLOOKUP(C61,ANALYSE!A:F,6,FALSE),0)</f>
        <v/>
      </c>
      <c r="E61">
        <f>ROUND(PREVISION_SERVICE!D4*D61,1)</f>
        <v/>
      </c>
      <c r="F61" t="inlineStr">
        <is>
          <t>portion</t>
        </is>
      </c>
      <c r="G61" t="inlineStr">
        <is>
          <t>Christelle</t>
        </is>
      </c>
    </row>
    <row r="62">
      <c r="A62">
        <f>PREVISION_SERVICE!A4</f>
        <v/>
      </c>
      <c r="B62">
        <f>PREVISION_SERVICE!C4</f>
        <v/>
      </c>
      <c r="C62" t="inlineStr">
        <is>
          <t>Samoussas</t>
        </is>
      </c>
      <c r="D62">
        <f>IFERROR(VLOOKUP(C62,ANALYSE!A:F,6,FALSE),0)</f>
        <v/>
      </c>
      <c r="E62">
        <f>ROUND(PREVISION_SERVICE!D4*D62,1)</f>
        <v/>
      </c>
      <c r="F62" t="inlineStr">
        <is>
          <t>portion</t>
        </is>
      </c>
      <c r="G62" t="inlineStr">
        <is>
          <t>Christelle</t>
        </is>
      </c>
    </row>
    <row r="63">
      <c r="A63">
        <f>PREVISION_SERVICE!A4</f>
        <v/>
      </c>
      <c r="B63">
        <f>PREVISION_SERVICE!C4</f>
        <v/>
      </c>
      <c r="C63" t="inlineStr">
        <is>
          <t>Crevettes tempura</t>
        </is>
      </c>
      <c r="D63">
        <f>IFERROR(VLOOKUP(C63,ANALYSE!A:F,6,FALSE),0)</f>
        <v/>
      </c>
      <c r="E63">
        <f>ROUND(PREVISION_SERVICE!D4*D63,1)</f>
        <v/>
      </c>
      <c r="F63" t="inlineStr">
        <is>
          <t>portion</t>
        </is>
      </c>
      <c r="G63" t="inlineStr">
        <is>
          <t>Christelle</t>
        </is>
      </c>
    </row>
    <row r="64">
      <c r="A64">
        <f>PREVISION_SERVICE!A4</f>
        <v/>
      </c>
      <c r="B64">
        <f>PREVISION_SERVICE!C4</f>
        <v/>
      </c>
      <c r="C64" t="inlineStr">
        <is>
          <t>Pisquettes</t>
        </is>
      </c>
      <c r="D64">
        <f>IFERROR(VLOOKUP(C64,ANALYSE!A:F,6,FALSE),0)</f>
        <v/>
      </c>
      <c r="E64">
        <f>ROUND(PREVISION_SERVICE!D4*D64,1)</f>
        <v/>
      </c>
      <c r="F64" t="inlineStr">
        <is>
          <t>portion</t>
        </is>
      </c>
      <c r="G64" t="inlineStr">
        <is>
          <t>Christelle</t>
        </is>
      </c>
    </row>
    <row r="65">
      <c r="A65">
        <f>PREVISION_SERVICE!A4</f>
        <v/>
      </c>
      <c r="B65">
        <f>PREVISION_SERVICE!C4</f>
        <v/>
      </c>
      <c r="C65" t="inlineStr">
        <is>
          <t>Tapas trio</t>
        </is>
      </c>
      <c r="D65">
        <f>IFERROR(VLOOKUP(C65,ANALYSE!A:F,6,FALSE),0)</f>
        <v/>
      </c>
      <c r="E65">
        <f>ROUND(PREVISION_SERVICE!D4*D65,1)</f>
        <v/>
      </c>
      <c r="F65" t="inlineStr">
        <is>
          <t>portion</t>
        </is>
      </c>
      <c r="G65" t="inlineStr">
        <is>
          <t>Christelle</t>
        </is>
      </c>
    </row>
    <row r="66">
      <c r="A66">
        <f>PREVISION_SERVICE!A4</f>
        <v/>
      </c>
      <c r="B66">
        <f>PREVISION_SERVICE!C4</f>
        <v/>
      </c>
      <c r="C66" t="inlineStr">
        <is>
          <t>Assiette créole</t>
        </is>
      </c>
      <c r="D66">
        <f>IFERROR(VLOOKUP(C66,ANALYSE!A:F,6,FALSE),0)</f>
        <v/>
      </c>
      <c r="E66">
        <f>ROUND(PREVISION_SERVICE!D4*D66,1)</f>
        <v/>
      </c>
      <c r="F66" t="inlineStr">
        <is>
          <t>portion</t>
        </is>
      </c>
      <c r="G66" t="inlineStr">
        <is>
          <t>Christelle</t>
        </is>
      </c>
    </row>
    <row r="67">
      <c r="A67">
        <f>PREVISION_SERVICE!A4</f>
        <v/>
      </c>
      <c r="B67">
        <f>PREVISION_SERVICE!C4</f>
        <v/>
      </c>
      <c r="C67" t="inlineStr">
        <is>
          <t>Salade Cap Est</t>
        </is>
      </c>
      <c r="D67">
        <f>IFERROR(VLOOKUP(C67,ANALYSE!A:F,6,FALSE),0)</f>
        <v/>
      </c>
      <c r="E67">
        <f>ROUND(PREVISION_SERVICE!D4*D67,1)</f>
        <v/>
      </c>
      <c r="F67" t="inlineStr">
        <is>
          <t>portion</t>
        </is>
      </c>
      <c r="G67" t="inlineStr">
        <is>
          <t>Christelle</t>
        </is>
      </c>
    </row>
    <row r="68">
      <c r="A68">
        <f>PREVISION_SERVICE!A4</f>
        <v/>
      </c>
      <c r="B68">
        <f>PREVISION_SERVICE!C4</f>
        <v/>
      </c>
      <c r="C68" t="inlineStr">
        <is>
          <t>Brochette de boeuf</t>
        </is>
      </c>
      <c r="D68">
        <f>IFERROR(VLOOKUP(C68,ANALYSE!A:F,6,FALSE),0)</f>
        <v/>
      </c>
      <c r="E68">
        <f>ROUND(PREVISION_SERVICE!D4*D68,1)</f>
        <v/>
      </c>
      <c r="F68" t="inlineStr">
        <is>
          <t>portion</t>
        </is>
      </c>
      <c r="G68" t="inlineStr">
        <is>
          <t>Ludovic</t>
        </is>
      </c>
    </row>
    <row r="69">
      <c r="A69">
        <f>PREVISION_SERVICE!A4</f>
        <v/>
      </c>
      <c r="B69">
        <f>PREVISION_SERVICE!C4</f>
        <v/>
      </c>
      <c r="C69" t="inlineStr">
        <is>
          <t>Brochette de crevettes</t>
        </is>
      </c>
      <c r="D69">
        <f>IFERROR(VLOOKUP(C69,ANALYSE!A:F,6,FALSE),0)</f>
        <v/>
      </c>
      <c r="E69">
        <f>ROUND(PREVISION_SERVICE!D4*D69,1)</f>
        <v/>
      </c>
      <c r="F69" t="inlineStr">
        <is>
          <t>portion</t>
        </is>
      </c>
      <c r="G69" t="inlineStr">
        <is>
          <t>Ludovic</t>
        </is>
      </c>
    </row>
    <row r="70">
      <c r="A70">
        <f>PREVISION_SERVICE!A4</f>
        <v/>
      </c>
      <c r="B70">
        <f>PREVISION_SERVICE!C4</f>
        <v/>
      </c>
      <c r="C70" t="inlineStr">
        <is>
          <t>Brochette de poisson</t>
        </is>
      </c>
      <c r="D70">
        <f>IFERROR(VLOOKUP(C70,ANALYSE!A:F,6,FALSE),0)</f>
        <v/>
      </c>
      <c r="E70">
        <f>ROUND(PREVISION_SERVICE!D4*D70,1)</f>
        <v/>
      </c>
      <c r="F70" t="inlineStr">
        <is>
          <t>portion</t>
        </is>
      </c>
      <c r="G70" t="inlineStr">
        <is>
          <t>Ludovic</t>
        </is>
      </c>
    </row>
    <row r="71">
      <c r="A71">
        <f>PREVISION_SERVICE!A4</f>
        <v/>
      </c>
      <c r="B71">
        <f>PREVISION_SERVICE!C4</f>
        <v/>
      </c>
      <c r="C71" t="inlineStr">
        <is>
          <t>Brochette de poulet</t>
        </is>
      </c>
      <c r="D71">
        <f>IFERROR(VLOOKUP(C71,ANALYSE!A:F,6,FALSE),0)</f>
        <v/>
      </c>
      <c r="E71">
        <f>ROUND(PREVISION_SERVICE!D4*D71,1)</f>
        <v/>
      </c>
      <c r="F71" t="inlineStr">
        <is>
          <t>portion</t>
        </is>
      </c>
      <c r="G71" t="inlineStr">
        <is>
          <t>Ludovic</t>
        </is>
      </c>
    </row>
    <row r="72">
      <c r="A72">
        <f>PREVISION_SERVICE!A4</f>
        <v/>
      </c>
      <c r="B72">
        <f>PREVISION_SERVICE!C4</f>
        <v/>
      </c>
      <c r="C72" t="inlineStr">
        <is>
          <t>Brochette de légumes</t>
        </is>
      </c>
      <c r="D72">
        <f>IFERROR(VLOOKUP(C72,ANALYSE!A:F,6,FALSE),0)</f>
        <v/>
      </c>
      <c r="E72">
        <f>ROUND(PREVISION_SERVICE!D4*D72,1)</f>
        <v/>
      </c>
      <c r="F72" t="inlineStr">
        <is>
          <t>portion</t>
        </is>
      </c>
      <c r="G72" t="inlineStr">
        <is>
          <t>Ludovic</t>
        </is>
      </c>
    </row>
    <row r="73">
      <c r="A73">
        <f>PREVISION_SERVICE!A4</f>
        <v/>
      </c>
      <c r="B73">
        <f>PREVISION_SERVICE!C4</f>
        <v/>
      </c>
      <c r="C73" t="inlineStr">
        <is>
          <t>Entrecôte</t>
        </is>
      </c>
      <c r="D73">
        <f>IFERROR(VLOOKUP(C73,ANALYSE!A:F,6,FALSE),0)</f>
        <v/>
      </c>
      <c r="E73">
        <f>ROUND(PREVISION_SERVICE!D4*D73,1)</f>
        <v/>
      </c>
      <c r="F73" t="inlineStr">
        <is>
          <t>portion</t>
        </is>
      </c>
      <c r="G73" t="inlineStr">
        <is>
          <t>Ludovic</t>
        </is>
      </c>
    </row>
    <row r="74">
      <c r="A74">
        <f>PREVISION_SERVICE!A4</f>
        <v/>
      </c>
      <c r="B74">
        <f>PREVISION_SERVICE!C4</f>
        <v/>
      </c>
      <c r="C74" t="inlineStr">
        <is>
          <t>Pièce du boucher</t>
        </is>
      </c>
      <c r="D74">
        <f>IFERROR(VLOOKUP(C74,ANALYSE!A:F,6,FALSE),0)</f>
        <v/>
      </c>
      <c r="E74">
        <f>ROUND(PREVISION_SERVICE!D4*D74,1)</f>
        <v/>
      </c>
      <c r="F74" t="inlineStr">
        <is>
          <t>portion</t>
        </is>
      </c>
      <c r="G74" t="inlineStr">
        <is>
          <t>Ludovic</t>
        </is>
      </c>
    </row>
    <row r="75">
      <c r="A75">
        <f>PREVISION_SERVICE!A4</f>
        <v/>
      </c>
      <c r="B75">
        <f>PREVISION_SERVICE!C4</f>
        <v/>
      </c>
      <c r="C75" t="inlineStr">
        <is>
          <t>Magret de canard</t>
        </is>
      </c>
      <c r="D75">
        <f>IFERROR(VLOOKUP(C75,ANALYSE!A:F,6,FALSE),0)</f>
        <v/>
      </c>
      <c r="E75">
        <f>ROUND(PREVISION_SERVICE!D4*D75,1)</f>
        <v/>
      </c>
      <c r="F75" t="inlineStr">
        <is>
          <t>portion</t>
        </is>
      </c>
      <c r="G75" t="inlineStr">
        <is>
          <t>Ludovic</t>
        </is>
      </c>
    </row>
    <row r="76">
      <c r="A76">
        <f>PREVISION_SERVICE!A4</f>
        <v/>
      </c>
      <c r="B76">
        <f>PREVISION_SERVICE!C4</f>
        <v/>
      </c>
      <c r="C76" t="inlineStr">
        <is>
          <t>Côte de boeuf</t>
        </is>
      </c>
      <c r="D76">
        <f>IFERROR(VLOOKUP(C76,ANALYSE!A:F,6,FALSE),0)</f>
        <v/>
      </c>
      <c r="E76">
        <f>ROUND(PREVISION_SERVICE!D4*D76,1)</f>
        <v/>
      </c>
      <c r="F76" t="inlineStr">
        <is>
          <t>portion</t>
        </is>
      </c>
      <c r="G76" t="inlineStr">
        <is>
          <t>Ludovic</t>
        </is>
      </c>
    </row>
    <row r="77">
      <c r="A77">
        <f>PREVISION_SERVICE!A4</f>
        <v/>
      </c>
      <c r="B77">
        <f>PREVISION_SERVICE!C4</f>
        <v/>
      </c>
      <c r="C77" t="inlineStr">
        <is>
          <t>Filet de poisson frais</t>
        </is>
      </c>
      <c r="D77">
        <f>IFERROR(VLOOKUP(C77,ANALYSE!A:F,6,FALSE),0)</f>
        <v/>
      </c>
      <c r="E77">
        <f>ROUND(PREVISION_SERVICE!D4*D77,1)</f>
        <v/>
      </c>
      <c r="F77" t="inlineStr">
        <is>
          <t>portion</t>
        </is>
      </c>
      <c r="G77" t="inlineStr">
        <is>
          <t>Ludovic</t>
        </is>
      </c>
    </row>
    <row r="78">
      <c r="A78">
        <f>PREVISION_SERVICE!A4</f>
        <v/>
      </c>
      <c r="B78">
        <f>PREVISION_SERVICE!C4</f>
        <v/>
      </c>
      <c r="C78" t="inlineStr">
        <is>
          <t>Tartare de poisson</t>
        </is>
      </c>
      <c r="D78">
        <f>IFERROR(VLOOKUP(C78,ANALYSE!A:F,6,FALSE),0)</f>
        <v/>
      </c>
      <c r="E78">
        <f>ROUND(PREVISION_SERVICE!D4*D78,1)</f>
        <v/>
      </c>
      <c r="F78" t="inlineStr">
        <is>
          <t>portion</t>
        </is>
      </c>
      <c r="G78" t="inlineStr">
        <is>
          <t>Ludovic</t>
        </is>
      </c>
    </row>
    <row r="79">
      <c r="A79">
        <f>PREVISION_SERVICE!A4</f>
        <v/>
      </c>
      <c r="B79">
        <f>PREVISION_SERVICE!C4</f>
        <v/>
      </c>
      <c r="C79" t="inlineStr">
        <is>
          <t>Frites maison</t>
        </is>
      </c>
      <c r="D79">
        <f>IFERROR(VLOOKUP(C79,ANALYSE!A:F,6,FALSE),0)</f>
        <v/>
      </c>
      <c r="E79">
        <f>ROUND(PREVISION_SERVICE!D4*D79,1)</f>
        <v/>
      </c>
      <c r="F79" t="inlineStr">
        <is>
          <t>portion</t>
        </is>
      </c>
      <c r="G79" t="inlineStr">
        <is>
          <t>Ludovic</t>
        </is>
      </c>
    </row>
    <row r="80">
      <c r="A80">
        <f>PREVISION_SERVICE!A4</f>
        <v/>
      </c>
      <c r="B80">
        <f>PREVISION_SERVICE!C4</f>
        <v/>
      </c>
      <c r="C80" t="inlineStr">
        <is>
          <t>Salade</t>
        </is>
      </c>
      <c r="D80">
        <f>IFERROR(VLOOKUP(C80,ANALYSE!A:F,6,FALSE),0)</f>
        <v/>
      </c>
      <c r="E80">
        <f>ROUND(PREVISION_SERVICE!D4*D80,1)</f>
        <v/>
      </c>
      <c r="F80" t="inlineStr">
        <is>
          <t>portion</t>
        </is>
      </c>
      <c r="G80" t="inlineStr">
        <is>
          <t>Christelle</t>
        </is>
      </c>
    </row>
    <row r="81">
      <c r="A81">
        <f>PREVISION_SERVICE!A4</f>
        <v/>
      </c>
      <c r="B81">
        <f>PREVISION_SERVICE!C4</f>
        <v/>
      </c>
      <c r="C81" t="inlineStr">
        <is>
          <t>Légumes variés</t>
        </is>
      </c>
      <c r="D81">
        <f>IFERROR(VLOOKUP(C81,ANALYSE!A:F,6,FALSE),0)</f>
        <v/>
      </c>
      <c r="E81">
        <f>ROUND(PREVISION_SERVICE!D4*D81,1)</f>
        <v/>
      </c>
      <c r="F81" t="inlineStr">
        <is>
          <t>portion</t>
        </is>
      </c>
      <c r="G81" t="inlineStr">
        <is>
          <t>Christelle</t>
        </is>
      </c>
    </row>
    <row r="82">
      <c r="A82">
        <f>PREVISION_SERVICE!A4</f>
        <v/>
      </c>
      <c r="B82">
        <f>PREVISION_SERVICE!C4</f>
        <v/>
      </c>
      <c r="C82" t="inlineStr">
        <is>
          <t>Gratin</t>
        </is>
      </c>
      <c r="D82">
        <f>IFERROR(VLOOKUP(C82,ANALYSE!A:F,6,FALSE),0)</f>
        <v/>
      </c>
      <c r="E82">
        <f>ROUND(PREVISION_SERVICE!D4*D82,1)</f>
        <v/>
      </c>
      <c r="F82" t="inlineStr">
        <is>
          <t>portion</t>
        </is>
      </c>
      <c r="G82" t="inlineStr">
        <is>
          <t>Christelle</t>
        </is>
      </c>
    </row>
    <row r="83">
      <c r="A83">
        <f>PREVISION_SERVICE!A4</f>
        <v/>
      </c>
      <c r="B83">
        <f>PREVISION_SERVICE!C4</f>
        <v/>
      </c>
      <c r="C83" t="inlineStr">
        <is>
          <t>Fondant chocolat</t>
        </is>
      </c>
      <c r="D83">
        <f>IFERROR(VLOOKUP(C83,ANALYSE!A:F,6,FALSE),0)</f>
        <v/>
      </c>
      <c r="E83">
        <f>ROUND(PREVISION_SERVICE!D4*D83,1)</f>
        <v/>
      </c>
      <c r="F83" t="inlineStr">
        <is>
          <t>portion</t>
        </is>
      </c>
      <c r="G83" t="inlineStr">
        <is>
          <t>Christelle</t>
        </is>
      </c>
    </row>
    <row r="84">
      <c r="A84">
        <f>PREVISION_SERVICE!A4</f>
        <v/>
      </c>
      <c r="B84">
        <f>PREVISION_SERVICE!C4</f>
        <v/>
      </c>
      <c r="C84" t="inlineStr">
        <is>
          <t>Tartelettes</t>
        </is>
      </c>
      <c r="D84">
        <f>IFERROR(VLOOKUP(C84,ANALYSE!A:F,6,FALSE),0)</f>
        <v/>
      </c>
      <c r="E84">
        <f>ROUND(PREVISION_SERVICE!D4*D84,1)</f>
        <v/>
      </c>
      <c r="F84" t="inlineStr">
        <is>
          <t>portion</t>
        </is>
      </c>
      <c r="G84" t="inlineStr">
        <is>
          <t>Christelle</t>
        </is>
      </c>
    </row>
    <row r="85">
      <c r="A85">
        <f>PREVISION_SERVICE!A4</f>
        <v/>
      </c>
      <c r="B85">
        <f>PREVISION_SERVICE!C4</f>
        <v/>
      </c>
      <c r="C85" t="inlineStr">
        <is>
          <t>Profiteroles</t>
        </is>
      </c>
      <c r="D85">
        <f>IFERROR(VLOOKUP(C85,ANALYSE!A:F,6,FALSE),0)</f>
        <v/>
      </c>
      <c r="E85">
        <f>ROUND(PREVISION_SERVICE!D4*D85,1)</f>
        <v/>
      </c>
      <c r="F85" t="inlineStr">
        <is>
          <t>portion</t>
        </is>
      </c>
      <c r="G85" t="inlineStr">
        <is>
          <t>Christelle</t>
        </is>
      </c>
    </row>
    <row r="86">
      <c r="A86">
        <f>PREVISION_SERVICE!A4</f>
        <v/>
      </c>
      <c r="B86">
        <f>PREVISION_SERVICE!C4</f>
        <v/>
      </c>
      <c r="C86" t="inlineStr">
        <is>
          <t>Gaufres</t>
        </is>
      </c>
      <c r="D86">
        <f>IFERROR(VLOOKUP(C86,ANALYSE!A:F,6,FALSE),0)</f>
        <v/>
      </c>
      <c r="E86">
        <f>ROUND(PREVISION_SERVICE!D4*D86,1)</f>
        <v/>
      </c>
      <c r="F86" t="inlineStr">
        <is>
          <t>portion</t>
        </is>
      </c>
      <c r="G86" t="inlineStr">
        <is>
          <t>Christelle</t>
        </is>
      </c>
    </row>
    <row r="87">
      <c r="A87">
        <f>PREVISION_SERVICE!A4</f>
        <v/>
      </c>
      <c r="B87">
        <f>PREVISION_SERVICE!C4</f>
        <v/>
      </c>
      <c r="C87" t="inlineStr">
        <is>
          <t>Compotée</t>
        </is>
      </c>
      <c r="D87">
        <f>IFERROR(VLOOKUP(C87,ANALYSE!A:F,6,FALSE),0)</f>
        <v/>
      </c>
      <c r="E87">
        <f>ROUND(PREVISION_SERVICE!D4*D87,1)</f>
        <v/>
      </c>
      <c r="F87" t="inlineStr">
        <is>
          <t>portion</t>
        </is>
      </c>
      <c r="G87" t="inlineStr">
        <is>
          <t>Christelle</t>
        </is>
      </c>
    </row>
    <row r="88">
      <c r="A88">
        <f>PREVISION_SERVICE!A4</f>
        <v/>
      </c>
      <c r="B88">
        <f>PREVISION_SERVICE!C4</f>
        <v/>
      </c>
      <c r="C88" t="inlineStr">
        <is>
          <t>Boule de glace</t>
        </is>
      </c>
      <c r="D88">
        <f>IFERROR(VLOOKUP(C88,ANALYSE!A:F,6,FALSE),0)</f>
        <v/>
      </c>
      <c r="E88">
        <f>ROUND(PREVISION_SERVICE!D4*D88,1)</f>
        <v/>
      </c>
      <c r="F88" t="inlineStr">
        <is>
          <t>portion</t>
        </is>
      </c>
      <c r="G88" t="inlineStr">
        <is>
          <t>Christelle</t>
        </is>
      </c>
    </row>
    <row r="89">
      <c r="A89">
        <f>PREVISION_SERVICE!A5</f>
        <v/>
      </c>
      <c r="B89">
        <f>PREVISION_SERVICE!C5</f>
        <v/>
      </c>
      <c r="C89" t="inlineStr">
        <is>
          <t>Accras</t>
        </is>
      </c>
      <c r="D89">
        <f>IFERROR(VLOOKUP(C89,ANALYSE!A:F,6,FALSE),0)</f>
        <v/>
      </c>
      <c r="E89">
        <f>ROUND(PREVISION_SERVICE!D5*D89,1)</f>
        <v/>
      </c>
      <c r="F89" t="inlineStr">
        <is>
          <t>portion</t>
        </is>
      </c>
      <c r="G89" t="inlineStr">
        <is>
          <t>Christelle</t>
        </is>
      </c>
    </row>
    <row r="90">
      <c r="A90">
        <f>PREVISION_SERVICE!A5</f>
        <v/>
      </c>
      <c r="B90">
        <f>PREVISION_SERVICE!C5</f>
        <v/>
      </c>
      <c r="C90" t="inlineStr">
        <is>
          <t>Nems</t>
        </is>
      </c>
      <c r="D90">
        <f>IFERROR(VLOOKUP(C90,ANALYSE!A:F,6,FALSE),0)</f>
        <v/>
      </c>
      <c r="E90">
        <f>ROUND(PREVISION_SERVICE!D5*D90,1)</f>
        <v/>
      </c>
      <c r="F90" t="inlineStr">
        <is>
          <t>portion</t>
        </is>
      </c>
      <c r="G90" t="inlineStr">
        <is>
          <t>Christelle</t>
        </is>
      </c>
    </row>
    <row r="91">
      <c r="A91">
        <f>PREVISION_SERVICE!A5</f>
        <v/>
      </c>
      <c r="B91">
        <f>PREVISION_SERVICE!C5</f>
        <v/>
      </c>
      <c r="C91" t="inlineStr">
        <is>
          <t>Samoussas</t>
        </is>
      </c>
      <c r="D91">
        <f>IFERROR(VLOOKUP(C91,ANALYSE!A:F,6,FALSE),0)</f>
        <v/>
      </c>
      <c r="E91">
        <f>ROUND(PREVISION_SERVICE!D5*D91,1)</f>
        <v/>
      </c>
      <c r="F91" t="inlineStr">
        <is>
          <t>portion</t>
        </is>
      </c>
      <c r="G91" t="inlineStr">
        <is>
          <t>Christelle</t>
        </is>
      </c>
    </row>
    <row r="92">
      <c r="A92">
        <f>PREVISION_SERVICE!A5</f>
        <v/>
      </c>
      <c r="B92">
        <f>PREVISION_SERVICE!C5</f>
        <v/>
      </c>
      <c r="C92" t="inlineStr">
        <is>
          <t>Crevettes tempura</t>
        </is>
      </c>
      <c r="D92">
        <f>IFERROR(VLOOKUP(C92,ANALYSE!A:F,6,FALSE),0)</f>
        <v/>
      </c>
      <c r="E92">
        <f>ROUND(PREVISION_SERVICE!D5*D92,1)</f>
        <v/>
      </c>
      <c r="F92" t="inlineStr">
        <is>
          <t>portion</t>
        </is>
      </c>
      <c r="G92" t="inlineStr">
        <is>
          <t>Christelle</t>
        </is>
      </c>
    </row>
    <row r="93">
      <c r="A93">
        <f>PREVISION_SERVICE!A5</f>
        <v/>
      </c>
      <c r="B93">
        <f>PREVISION_SERVICE!C5</f>
        <v/>
      </c>
      <c r="C93" t="inlineStr">
        <is>
          <t>Pisquettes</t>
        </is>
      </c>
      <c r="D93">
        <f>IFERROR(VLOOKUP(C93,ANALYSE!A:F,6,FALSE),0)</f>
        <v/>
      </c>
      <c r="E93">
        <f>ROUND(PREVISION_SERVICE!D5*D93,1)</f>
        <v/>
      </c>
      <c r="F93" t="inlineStr">
        <is>
          <t>portion</t>
        </is>
      </c>
      <c r="G93" t="inlineStr">
        <is>
          <t>Christelle</t>
        </is>
      </c>
    </row>
    <row r="94">
      <c r="A94">
        <f>PREVISION_SERVICE!A5</f>
        <v/>
      </c>
      <c r="B94">
        <f>PREVISION_SERVICE!C5</f>
        <v/>
      </c>
      <c r="C94" t="inlineStr">
        <is>
          <t>Tapas trio</t>
        </is>
      </c>
      <c r="D94">
        <f>IFERROR(VLOOKUP(C94,ANALYSE!A:F,6,FALSE),0)</f>
        <v/>
      </c>
      <c r="E94">
        <f>ROUND(PREVISION_SERVICE!D5*D94,1)</f>
        <v/>
      </c>
      <c r="F94" t="inlineStr">
        <is>
          <t>portion</t>
        </is>
      </c>
      <c r="G94" t="inlineStr">
        <is>
          <t>Christelle</t>
        </is>
      </c>
    </row>
    <row r="95">
      <c r="A95">
        <f>PREVISION_SERVICE!A5</f>
        <v/>
      </c>
      <c r="B95">
        <f>PREVISION_SERVICE!C5</f>
        <v/>
      </c>
      <c r="C95" t="inlineStr">
        <is>
          <t>Assiette créole</t>
        </is>
      </c>
      <c r="D95">
        <f>IFERROR(VLOOKUP(C95,ANALYSE!A:F,6,FALSE),0)</f>
        <v/>
      </c>
      <c r="E95">
        <f>ROUND(PREVISION_SERVICE!D5*D95,1)</f>
        <v/>
      </c>
      <c r="F95" t="inlineStr">
        <is>
          <t>portion</t>
        </is>
      </c>
      <c r="G95" t="inlineStr">
        <is>
          <t>Christelle</t>
        </is>
      </c>
    </row>
    <row r="96">
      <c r="A96">
        <f>PREVISION_SERVICE!A5</f>
        <v/>
      </c>
      <c r="B96">
        <f>PREVISION_SERVICE!C5</f>
        <v/>
      </c>
      <c r="C96" t="inlineStr">
        <is>
          <t>Salade Cap Est</t>
        </is>
      </c>
      <c r="D96">
        <f>IFERROR(VLOOKUP(C96,ANALYSE!A:F,6,FALSE),0)</f>
        <v/>
      </c>
      <c r="E96">
        <f>ROUND(PREVISION_SERVICE!D5*D96,1)</f>
        <v/>
      </c>
      <c r="F96" t="inlineStr">
        <is>
          <t>portion</t>
        </is>
      </c>
      <c r="G96" t="inlineStr">
        <is>
          <t>Christelle</t>
        </is>
      </c>
    </row>
    <row r="97">
      <c r="A97">
        <f>PREVISION_SERVICE!A5</f>
        <v/>
      </c>
      <c r="B97">
        <f>PREVISION_SERVICE!C5</f>
        <v/>
      </c>
      <c r="C97" t="inlineStr">
        <is>
          <t>Brochette de boeuf</t>
        </is>
      </c>
      <c r="D97">
        <f>IFERROR(VLOOKUP(C97,ANALYSE!A:F,6,FALSE),0)</f>
        <v/>
      </c>
      <c r="E97">
        <f>ROUND(PREVISION_SERVICE!D5*D97,1)</f>
        <v/>
      </c>
      <c r="F97" t="inlineStr">
        <is>
          <t>portion</t>
        </is>
      </c>
      <c r="G97" t="inlineStr">
        <is>
          <t>Ludovic</t>
        </is>
      </c>
    </row>
    <row r="98">
      <c r="A98">
        <f>PREVISION_SERVICE!A5</f>
        <v/>
      </c>
      <c r="B98">
        <f>PREVISION_SERVICE!C5</f>
        <v/>
      </c>
      <c r="C98" t="inlineStr">
        <is>
          <t>Brochette de crevettes</t>
        </is>
      </c>
      <c r="D98">
        <f>IFERROR(VLOOKUP(C98,ANALYSE!A:F,6,FALSE),0)</f>
        <v/>
      </c>
      <c r="E98">
        <f>ROUND(PREVISION_SERVICE!D5*D98,1)</f>
        <v/>
      </c>
      <c r="F98" t="inlineStr">
        <is>
          <t>portion</t>
        </is>
      </c>
      <c r="G98" t="inlineStr">
        <is>
          <t>Ludovic</t>
        </is>
      </c>
    </row>
    <row r="99">
      <c r="A99">
        <f>PREVISION_SERVICE!A5</f>
        <v/>
      </c>
      <c r="B99">
        <f>PREVISION_SERVICE!C5</f>
        <v/>
      </c>
      <c r="C99" t="inlineStr">
        <is>
          <t>Brochette de poisson</t>
        </is>
      </c>
      <c r="D99">
        <f>IFERROR(VLOOKUP(C99,ANALYSE!A:F,6,FALSE),0)</f>
        <v/>
      </c>
      <c r="E99">
        <f>ROUND(PREVISION_SERVICE!D5*D99,1)</f>
        <v/>
      </c>
      <c r="F99" t="inlineStr">
        <is>
          <t>portion</t>
        </is>
      </c>
      <c r="G99" t="inlineStr">
        <is>
          <t>Ludovic</t>
        </is>
      </c>
    </row>
    <row r="100">
      <c r="A100">
        <f>PREVISION_SERVICE!A5</f>
        <v/>
      </c>
      <c r="B100">
        <f>PREVISION_SERVICE!C5</f>
        <v/>
      </c>
      <c r="C100" t="inlineStr">
        <is>
          <t>Brochette de poulet</t>
        </is>
      </c>
      <c r="D100">
        <f>IFERROR(VLOOKUP(C100,ANALYSE!A:F,6,FALSE),0)</f>
        <v/>
      </c>
      <c r="E100">
        <f>ROUND(PREVISION_SERVICE!D5*D100,1)</f>
        <v/>
      </c>
      <c r="F100" t="inlineStr">
        <is>
          <t>portion</t>
        </is>
      </c>
      <c r="G100" t="inlineStr">
        <is>
          <t>Ludovic</t>
        </is>
      </c>
    </row>
    <row r="101">
      <c r="A101">
        <f>PREVISION_SERVICE!A5</f>
        <v/>
      </c>
      <c r="B101">
        <f>PREVISION_SERVICE!C5</f>
        <v/>
      </c>
      <c r="C101" t="inlineStr">
        <is>
          <t>Brochette de légumes</t>
        </is>
      </c>
      <c r="D101">
        <f>IFERROR(VLOOKUP(C101,ANALYSE!A:F,6,FALSE),0)</f>
        <v/>
      </c>
      <c r="E101">
        <f>ROUND(PREVISION_SERVICE!D5*D101,1)</f>
        <v/>
      </c>
      <c r="F101" t="inlineStr">
        <is>
          <t>portion</t>
        </is>
      </c>
      <c r="G101" t="inlineStr">
        <is>
          <t>Ludovic</t>
        </is>
      </c>
    </row>
    <row r="102">
      <c r="A102">
        <f>PREVISION_SERVICE!A5</f>
        <v/>
      </c>
      <c r="B102">
        <f>PREVISION_SERVICE!C5</f>
        <v/>
      </c>
      <c r="C102" t="inlineStr">
        <is>
          <t>Entrecôte</t>
        </is>
      </c>
      <c r="D102">
        <f>IFERROR(VLOOKUP(C102,ANALYSE!A:F,6,FALSE),0)</f>
        <v/>
      </c>
      <c r="E102">
        <f>ROUND(PREVISION_SERVICE!D5*D102,1)</f>
        <v/>
      </c>
      <c r="F102" t="inlineStr">
        <is>
          <t>portion</t>
        </is>
      </c>
      <c r="G102" t="inlineStr">
        <is>
          <t>Ludovic</t>
        </is>
      </c>
    </row>
    <row r="103">
      <c r="A103">
        <f>PREVISION_SERVICE!A5</f>
        <v/>
      </c>
      <c r="B103">
        <f>PREVISION_SERVICE!C5</f>
        <v/>
      </c>
      <c r="C103" t="inlineStr">
        <is>
          <t>Pièce du boucher</t>
        </is>
      </c>
      <c r="D103">
        <f>IFERROR(VLOOKUP(C103,ANALYSE!A:F,6,FALSE),0)</f>
        <v/>
      </c>
      <c r="E103">
        <f>ROUND(PREVISION_SERVICE!D5*D103,1)</f>
        <v/>
      </c>
      <c r="F103" t="inlineStr">
        <is>
          <t>portion</t>
        </is>
      </c>
      <c r="G103" t="inlineStr">
        <is>
          <t>Ludovic</t>
        </is>
      </c>
    </row>
    <row r="104">
      <c r="A104">
        <f>PREVISION_SERVICE!A5</f>
        <v/>
      </c>
      <c r="B104">
        <f>PREVISION_SERVICE!C5</f>
        <v/>
      </c>
      <c r="C104" t="inlineStr">
        <is>
          <t>Magret de canard</t>
        </is>
      </c>
      <c r="D104">
        <f>IFERROR(VLOOKUP(C104,ANALYSE!A:F,6,FALSE),0)</f>
        <v/>
      </c>
      <c r="E104">
        <f>ROUND(PREVISION_SERVICE!D5*D104,1)</f>
        <v/>
      </c>
      <c r="F104" t="inlineStr">
        <is>
          <t>portion</t>
        </is>
      </c>
      <c r="G104" t="inlineStr">
        <is>
          <t>Ludovic</t>
        </is>
      </c>
    </row>
    <row r="105">
      <c r="A105">
        <f>PREVISION_SERVICE!A5</f>
        <v/>
      </c>
      <c r="B105">
        <f>PREVISION_SERVICE!C5</f>
        <v/>
      </c>
      <c r="C105" t="inlineStr">
        <is>
          <t>Côte de boeuf</t>
        </is>
      </c>
      <c r="D105">
        <f>IFERROR(VLOOKUP(C105,ANALYSE!A:F,6,FALSE),0)</f>
        <v/>
      </c>
      <c r="E105">
        <f>ROUND(PREVISION_SERVICE!D5*D105,1)</f>
        <v/>
      </c>
      <c r="F105" t="inlineStr">
        <is>
          <t>portion</t>
        </is>
      </c>
      <c r="G105" t="inlineStr">
        <is>
          <t>Ludovic</t>
        </is>
      </c>
    </row>
    <row r="106">
      <c r="A106">
        <f>PREVISION_SERVICE!A5</f>
        <v/>
      </c>
      <c r="B106">
        <f>PREVISION_SERVICE!C5</f>
        <v/>
      </c>
      <c r="C106" t="inlineStr">
        <is>
          <t>Filet de poisson frais</t>
        </is>
      </c>
      <c r="D106">
        <f>IFERROR(VLOOKUP(C106,ANALYSE!A:F,6,FALSE),0)</f>
        <v/>
      </c>
      <c r="E106">
        <f>ROUND(PREVISION_SERVICE!D5*D106,1)</f>
        <v/>
      </c>
      <c r="F106" t="inlineStr">
        <is>
          <t>portion</t>
        </is>
      </c>
      <c r="G106" t="inlineStr">
        <is>
          <t>Ludovic</t>
        </is>
      </c>
    </row>
    <row r="107">
      <c r="A107">
        <f>PREVISION_SERVICE!A5</f>
        <v/>
      </c>
      <c r="B107">
        <f>PREVISION_SERVICE!C5</f>
        <v/>
      </c>
      <c r="C107" t="inlineStr">
        <is>
          <t>Tartare de poisson</t>
        </is>
      </c>
      <c r="D107">
        <f>IFERROR(VLOOKUP(C107,ANALYSE!A:F,6,FALSE),0)</f>
        <v/>
      </c>
      <c r="E107">
        <f>ROUND(PREVISION_SERVICE!D5*D107,1)</f>
        <v/>
      </c>
      <c r="F107" t="inlineStr">
        <is>
          <t>portion</t>
        </is>
      </c>
      <c r="G107" t="inlineStr">
        <is>
          <t>Ludovic</t>
        </is>
      </c>
    </row>
    <row r="108">
      <c r="A108">
        <f>PREVISION_SERVICE!A5</f>
        <v/>
      </c>
      <c r="B108">
        <f>PREVISION_SERVICE!C5</f>
        <v/>
      </c>
      <c r="C108" t="inlineStr">
        <is>
          <t>Frites maison</t>
        </is>
      </c>
      <c r="D108">
        <f>IFERROR(VLOOKUP(C108,ANALYSE!A:F,6,FALSE),0)</f>
        <v/>
      </c>
      <c r="E108">
        <f>ROUND(PREVISION_SERVICE!D5*D108,1)</f>
        <v/>
      </c>
      <c r="F108" t="inlineStr">
        <is>
          <t>portion</t>
        </is>
      </c>
      <c r="G108" t="inlineStr">
        <is>
          <t>Ludovic</t>
        </is>
      </c>
    </row>
    <row r="109">
      <c r="A109">
        <f>PREVISION_SERVICE!A5</f>
        <v/>
      </c>
      <c r="B109">
        <f>PREVISION_SERVICE!C5</f>
        <v/>
      </c>
      <c r="C109" t="inlineStr">
        <is>
          <t>Salade</t>
        </is>
      </c>
      <c r="D109">
        <f>IFERROR(VLOOKUP(C109,ANALYSE!A:F,6,FALSE),0)</f>
        <v/>
      </c>
      <c r="E109">
        <f>ROUND(PREVISION_SERVICE!D5*D109,1)</f>
        <v/>
      </c>
      <c r="F109" t="inlineStr">
        <is>
          <t>portion</t>
        </is>
      </c>
      <c r="G109" t="inlineStr">
        <is>
          <t>Christelle</t>
        </is>
      </c>
    </row>
    <row r="110">
      <c r="A110">
        <f>PREVISION_SERVICE!A5</f>
        <v/>
      </c>
      <c r="B110">
        <f>PREVISION_SERVICE!C5</f>
        <v/>
      </c>
      <c r="C110" t="inlineStr">
        <is>
          <t>Légumes variés</t>
        </is>
      </c>
      <c r="D110">
        <f>IFERROR(VLOOKUP(C110,ANALYSE!A:F,6,FALSE),0)</f>
        <v/>
      </c>
      <c r="E110">
        <f>ROUND(PREVISION_SERVICE!D5*D110,1)</f>
        <v/>
      </c>
      <c r="F110" t="inlineStr">
        <is>
          <t>portion</t>
        </is>
      </c>
      <c r="G110" t="inlineStr">
        <is>
          <t>Christelle</t>
        </is>
      </c>
    </row>
    <row r="111">
      <c r="A111">
        <f>PREVISION_SERVICE!A5</f>
        <v/>
      </c>
      <c r="B111">
        <f>PREVISION_SERVICE!C5</f>
        <v/>
      </c>
      <c r="C111" t="inlineStr">
        <is>
          <t>Gratin</t>
        </is>
      </c>
      <c r="D111">
        <f>IFERROR(VLOOKUP(C111,ANALYSE!A:F,6,FALSE),0)</f>
        <v/>
      </c>
      <c r="E111">
        <f>ROUND(PREVISION_SERVICE!D5*D111,1)</f>
        <v/>
      </c>
      <c r="F111" t="inlineStr">
        <is>
          <t>portion</t>
        </is>
      </c>
      <c r="G111" t="inlineStr">
        <is>
          <t>Christelle</t>
        </is>
      </c>
    </row>
    <row r="112">
      <c r="A112">
        <f>PREVISION_SERVICE!A5</f>
        <v/>
      </c>
      <c r="B112">
        <f>PREVISION_SERVICE!C5</f>
        <v/>
      </c>
      <c r="C112" t="inlineStr">
        <is>
          <t>Fondant chocolat</t>
        </is>
      </c>
      <c r="D112">
        <f>IFERROR(VLOOKUP(C112,ANALYSE!A:F,6,FALSE),0)</f>
        <v/>
      </c>
      <c r="E112">
        <f>ROUND(PREVISION_SERVICE!D5*D112,1)</f>
        <v/>
      </c>
      <c r="F112" t="inlineStr">
        <is>
          <t>portion</t>
        </is>
      </c>
      <c r="G112" t="inlineStr">
        <is>
          <t>Christelle</t>
        </is>
      </c>
    </row>
    <row r="113">
      <c r="A113">
        <f>PREVISION_SERVICE!A5</f>
        <v/>
      </c>
      <c r="B113">
        <f>PREVISION_SERVICE!C5</f>
        <v/>
      </c>
      <c r="C113" t="inlineStr">
        <is>
          <t>Tartelettes</t>
        </is>
      </c>
      <c r="D113">
        <f>IFERROR(VLOOKUP(C113,ANALYSE!A:F,6,FALSE),0)</f>
        <v/>
      </c>
      <c r="E113">
        <f>ROUND(PREVISION_SERVICE!D5*D113,1)</f>
        <v/>
      </c>
      <c r="F113" t="inlineStr">
        <is>
          <t>portion</t>
        </is>
      </c>
      <c r="G113" t="inlineStr">
        <is>
          <t>Christelle</t>
        </is>
      </c>
    </row>
    <row r="114">
      <c r="A114">
        <f>PREVISION_SERVICE!A5</f>
        <v/>
      </c>
      <c r="B114">
        <f>PREVISION_SERVICE!C5</f>
        <v/>
      </c>
      <c r="C114" t="inlineStr">
        <is>
          <t>Profiteroles</t>
        </is>
      </c>
      <c r="D114">
        <f>IFERROR(VLOOKUP(C114,ANALYSE!A:F,6,FALSE),0)</f>
        <v/>
      </c>
      <c r="E114">
        <f>ROUND(PREVISION_SERVICE!D5*D114,1)</f>
        <v/>
      </c>
      <c r="F114" t="inlineStr">
        <is>
          <t>portion</t>
        </is>
      </c>
      <c r="G114" t="inlineStr">
        <is>
          <t>Christelle</t>
        </is>
      </c>
    </row>
    <row r="115">
      <c r="A115">
        <f>PREVISION_SERVICE!A5</f>
        <v/>
      </c>
      <c r="B115">
        <f>PREVISION_SERVICE!C5</f>
        <v/>
      </c>
      <c r="C115" t="inlineStr">
        <is>
          <t>Gaufres</t>
        </is>
      </c>
      <c r="D115">
        <f>IFERROR(VLOOKUP(C115,ANALYSE!A:F,6,FALSE),0)</f>
        <v/>
      </c>
      <c r="E115">
        <f>ROUND(PREVISION_SERVICE!D5*D115,1)</f>
        <v/>
      </c>
      <c r="F115" t="inlineStr">
        <is>
          <t>portion</t>
        </is>
      </c>
      <c r="G115" t="inlineStr">
        <is>
          <t>Christelle</t>
        </is>
      </c>
    </row>
    <row r="116">
      <c r="A116">
        <f>PREVISION_SERVICE!A5</f>
        <v/>
      </c>
      <c r="B116">
        <f>PREVISION_SERVICE!C5</f>
        <v/>
      </c>
      <c r="C116" t="inlineStr">
        <is>
          <t>Compotée</t>
        </is>
      </c>
      <c r="D116">
        <f>IFERROR(VLOOKUP(C116,ANALYSE!A:F,6,FALSE),0)</f>
        <v/>
      </c>
      <c r="E116">
        <f>ROUND(PREVISION_SERVICE!D5*D116,1)</f>
        <v/>
      </c>
      <c r="F116" t="inlineStr">
        <is>
          <t>portion</t>
        </is>
      </c>
      <c r="G116" t="inlineStr">
        <is>
          <t>Christelle</t>
        </is>
      </c>
    </row>
    <row r="117">
      <c r="A117">
        <f>PREVISION_SERVICE!A5</f>
        <v/>
      </c>
      <c r="B117">
        <f>PREVISION_SERVICE!C5</f>
        <v/>
      </c>
      <c r="C117" t="inlineStr">
        <is>
          <t>Boule de glace</t>
        </is>
      </c>
      <c r="D117">
        <f>IFERROR(VLOOKUP(C117,ANALYSE!A:F,6,FALSE),0)</f>
        <v/>
      </c>
      <c r="E117">
        <f>ROUND(PREVISION_SERVICE!D5*D117,1)</f>
        <v/>
      </c>
      <c r="F117" t="inlineStr">
        <is>
          <t>portion</t>
        </is>
      </c>
      <c r="G117" t="inlineStr">
        <is>
          <t>Christelle</t>
        </is>
      </c>
    </row>
    <row r="118">
      <c r="A118">
        <f>PREVISION_SERVICE!A6</f>
        <v/>
      </c>
      <c r="B118">
        <f>PREVISION_SERVICE!C6</f>
        <v/>
      </c>
      <c r="C118" t="inlineStr">
        <is>
          <t>Accras</t>
        </is>
      </c>
      <c r="D118">
        <f>IFERROR(VLOOKUP(C118,ANALYSE!A:F,6,FALSE),0)</f>
        <v/>
      </c>
      <c r="E118">
        <f>ROUND(PREVISION_SERVICE!D6*D118,1)</f>
        <v/>
      </c>
      <c r="F118" t="inlineStr">
        <is>
          <t>portion</t>
        </is>
      </c>
      <c r="G118" t="inlineStr">
        <is>
          <t>Christelle</t>
        </is>
      </c>
    </row>
    <row r="119">
      <c r="A119">
        <f>PREVISION_SERVICE!A6</f>
        <v/>
      </c>
      <c r="B119">
        <f>PREVISION_SERVICE!C6</f>
        <v/>
      </c>
      <c r="C119" t="inlineStr">
        <is>
          <t>Nems</t>
        </is>
      </c>
      <c r="D119">
        <f>IFERROR(VLOOKUP(C119,ANALYSE!A:F,6,FALSE),0)</f>
        <v/>
      </c>
      <c r="E119">
        <f>ROUND(PREVISION_SERVICE!D6*D119,1)</f>
        <v/>
      </c>
      <c r="F119" t="inlineStr">
        <is>
          <t>portion</t>
        </is>
      </c>
      <c r="G119" t="inlineStr">
        <is>
          <t>Christelle</t>
        </is>
      </c>
    </row>
    <row r="120">
      <c r="A120">
        <f>PREVISION_SERVICE!A6</f>
        <v/>
      </c>
      <c r="B120">
        <f>PREVISION_SERVICE!C6</f>
        <v/>
      </c>
      <c r="C120" t="inlineStr">
        <is>
          <t>Samoussas</t>
        </is>
      </c>
      <c r="D120">
        <f>IFERROR(VLOOKUP(C120,ANALYSE!A:F,6,FALSE),0)</f>
        <v/>
      </c>
      <c r="E120">
        <f>ROUND(PREVISION_SERVICE!D6*D120,1)</f>
        <v/>
      </c>
      <c r="F120" t="inlineStr">
        <is>
          <t>portion</t>
        </is>
      </c>
      <c r="G120" t="inlineStr">
        <is>
          <t>Christelle</t>
        </is>
      </c>
    </row>
    <row r="121">
      <c r="A121">
        <f>PREVISION_SERVICE!A6</f>
        <v/>
      </c>
      <c r="B121">
        <f>PREVISION_SERVICE!C6</f>
        <v/>
      </c>
      <c r="C121" t="inlineStr">
        <is>
          <t>Crevettes tempura</t>
        </is>
      </c>
      <c r="D121">
        <f>IFERROR(VLOOKUP(C121,ANALYSE!A:F,6,FALSE),0)</f>
        <v/>
      </c>
      <c r="E121">
        <f>ROUND(PREVISION_SERVICE!D6*D121,1)</f>
        <v/>
      </c>
      <c r="F121" t="inlineStr">
        <is>
          <t>portion</t>
        </is>
      </c>
      <c r="G121" t="inlineStr">
        <is>
          <t>Christelle</t>
        </is>
      </c>
    </row>
    <row r="122">
      <c r="A122">
        <f>PREVISION_SERVICE!A6</f>
        <v/>
      </c>
      <c r="B122">
        <f>PREVISION_SERVICE!C6</f>
        <v/>
      </c>
      <c r="C122" t="inlineStr">
        <is>
          <t>Pisquettes</t>
        </is>
      </c>
      <c r="D122">
        <f>IFERROR(VLOOKUP(C122,ANALYSE!A:F,6,FALSE),0)</f>
        <v/>
      </c>
      <c r="E122">
        <f>ROUND(PREVISION_SERVICE!D6*D122,1)</f>
        <v/>
      </c>
      <c r="F122" t="inlineStr">
        <is>
          <t>portion</t>
        </is>
      </c>
      <c r="G122" t="inlineStr">
        <is>
          <t>Christelle</t>
        </is>
      </c>
    </row>
    <row r="123">
      <c r="A123">
        <f>PREVISION_SERVICE!A6</f>
        <v/>
      </c>
      <c r="B123">
        <f>PREVISION_SERVICE!C6</f>
        <v/>
      </c>
      <c r="C123" t="inlineStr">
        <is>
          <t>Tapas trio</t>
        </is>
      </c>
      <c r="D123">
        <f>IFERROR(VLOOKUP(C123,ANALYSE!A:F,6,FALSE),0)</f>
        <v/>
      </c>
      <c r="E123">
        <f>ROUND(PREVISION_SERVICE!D6*D123,1)</f>
        <v/>
      </c>
      <c r="F123" t="inlineStr">
        <is>
          <t>portion</t>
        </is>
      </c>
      <c r="G123" t="inlineStr">
        <is>
          <t>Christelle</t>
        </is>
      </c>
    </row>
    <row r="124">
      <c r="A124">
        <f>PREVISION_SERVICE!A6</f>
        <v/>
      </c>
      <c r="B124">
        <f>PREVISION_SERVICE!C6</f>
        <v/>
      </c>
      <c r="C124" t="inlineStr">
        <is>
          <t>Assiette créole</t>
        </is>
      </c>
      <c r="D124">
        <f>IFERROR(VLOOKUP(C124,ANALYSE!A:F,6,FALSE),0)</f>
        <v/>
      </c>
      <c r="E124">
        <f>ROUND(PREVISION_SERVICE!D6*D124,1)</f>
        <v/>
      </c>
      <c r="F124" t="inlineStr">
        <is>
          <t>portion</t>
        </is>
      </c>
      <c r="G124" t="inlineStr">
        <is>
          <t>Christelle</t>
        </is>
      </c>
    </row>
    <row r="125">
      <c r="A125">
        <f>PREVISION_SERVICE!A6</f>
        <v/>
      </c>
      <c r="B125">
        <f>PREVISION_SERVICE!C6</f>
        <v/>
      </c>
      <c r="C125" t="inlineStr">
        <is>
          <t>Salade Cap Est</t>
        </is>
      </c>
      <c r="D125">
        <f>IFERROR(VLOOKUP(C125,ANALYSE!A:F,6,FALSE),0)</f>
        <v/>
      </c>
      <c r="E125">
        <f>ROUND(PREVISION_SERVICE!D6*D125,1)</f>
        <v/>
      </c>
      <c r="F125" t="inlineStr">
        <is>
          <t>portion</t>
        </is>
      </c>
      <c r="G125" t="inlineStr">
        <is>
          <t>Christelle</t>
        </is>
      </c>
    </row>
    <row r="126">
      <c r="A126">
        <f>PREVISION_SERVICE!A6</f>
        <v/>
      </c>
      <c r="B126">
        <f>PREVISION_SERVICE!C6</f>
        <v/>
      </c>
      <c r="C126" t="inlineStr">
        <is>
          <t>Brochette de boeuf</t>
        </is>
      </c>
      <c r="D126">
        <f>IFERROR(VLOOKUP(C126,ANALYSE!A:F,6,FALSE),0)</f>
        <v/>
      </c>
      <c r="E126">
        <f>ROUND(PREVISION_SERVICE!D6*D126,1)</f>
        <v/>
      </c>
      <c r="F126" t="inlineStr">
        <is>
          <t>portion</t>
        </is>
      </c>
      <c r="G126" t="inlineStr">
        <is>
          <t>Ludovic</t>
        </is>
      </c>
    </row>
    <row r="127">
      <c r="A127">
        <f>PREVISION_SERVICE!A6</f>
        <v/>
      </c>
      <c r="B127">
        <f>PREVISION_SERVICE!C6</f>
        <v/>
      </c>
      <c r="C127" t="inlineStr">
        <is>
          <t>Brochette de crevettes</t>
        </is>
      </c>
      <c r="D127">
        <f>IFERROR(VLOOKUP(C127,ANALYSE!A:F,6,FALSE),0)</f>
        <v/>
      </c>
      <c r="E127">
        <f>ROUND(PREVISION_SERVICE!D6*D127,1)</f>
        <v/>
      </c>
      <c r="F127" t="inlineStr">
        <is>
          <t>portion</t>
        </is>
      </c>
      <c r="G127" t="inlineStr">
        <is>
          <t>Ludovic</t>
        </is>
      </c>
    </row>
    <row r="128">
      <c r="A128">
        <f>PREVISION_SERVICE!A6</f>
        <v/>
      </c>
      <c r="B128">
        <f>PREVISION_SERVICE!C6</f>
        <v/>
      </c>
      <c r="C128" t="inlineStr">
        <is>
          <t>Brochette de poisson</t>
        </is>
      </c>
      <c r="D128">
        <f>IFERROR(VLOOKUP(C128,ANALYSE!A:F,6,FALSE),0)</f>
        <v/>
      </c>
      <c r="E128">
        <f>ROUND(PREVISION_SERVICE!D6*D128,1)</f>
        <v/>
      </c>
      <c r="F128" t="inlineStr">
        <is>
          <t>portion</t>
        </is>
      </c>
      <c r="G128" t="inlineStr">
        <is>
          <t>Ludovic</t>
        </is>
      </c>
    </row>
    <row r="129">
      <c r="A129">
        <f>PREVISION_SERVICE!A6</f>
        <v/>
      </c>
      <c r="B129">
        <f>PREVISION_SERVICE!C6</f>
        <v/>
      </c>
      <c r="C129" t="inlineStr">
        <is>
          <t>Brochette de poulet</t>
        </is>
      </c>
      <c r="D129">
        <f>IFERROR(VLOOKUP(C129,ANALYSE!A:F,6,FALSE),0)</f>
        <v/>
      </c>
      <c r="E129">
        <f>ROUND(PREVISION_SERVICE!D6*D129,1)</f>
        <v/>
      </c>
      <c r="F129" t="inlineStr">
        <is>
          <t>portion</t>
        </is>
      </c>
      <c r="G129" t="inlineStr">
        <is>
          <t>Ludovic</t>
        </is>
      </c>
    </row>
    <row r="130">
      <c r="A130">
        <f>PREVISION_SERVICE!A6</f>
        <v/>
      </c>
      <c r="B130">
        <f>PREVISION_SERVICE!C6</f>
        <v/>
      </c>
      <c r="C130" t="inlineStr">
        <is>
          <t>Brochette de légumes</t>
        </is>
      </c>
      <c r="D130">
        <f>IFERROR(VLOOKUP(C130,ANALYSE!A:F,6,FALSE),0)</f>
        <v/>
      </c>
      <c r="E130">
        <f>ROUND(PREVISION_SERVICE!D6*D130,1)</f>
        <v/>
      </c>
      <c r="F130" t="inlineStr">
        <is>
          <t>portion</t>
        </is>
      </c>
      <c r="G130" t="inlineStr">
        <is>
          <t>Ludovic</t>
        </is>
      </c>
    </row>
    <row r="131">
      <c r="A131">
        <f>PREVISION_SERVICE!A6</f>
        <v/>
      </c>
      <c r="B131">
        <f>PREVISION_SERVICE!C6</f>
        <v/>
      </c>
      <c r="C131" t="inlineStr">
        <is>
          <t>Entrecôte</t>
        </is>
      </c>
      <c r="D131">
        <f>IFERROR(VLOOKUP(C131,ANALYSE!A:F,6,FALSE),0)</f>
        <v/>
      </c>
      <c r="E131">
        <f>ROUND(PREVISION_SERVICE!D6*D131,1)</f>
        <v/>
      </c>
      <c r="F131" t="inlineStr">
        <is>
          <t>portion</t>
        </is>
      </c>
      <c r="G131" t="inlineStr">
        <is>
          <t>Ludovic</t>
        </is>
      </c>
    </row>
    <row r="132">
      <c r="A132">
        <f>PREVISION_SERVICE!A6</f>
        <v/>
      </c>
      <c r="B132">
        <f>PREVISION_SERVICE!C6</f>
        <v/>
      </c>
      <c r="C132" t="inlineStr">
        <is>
          <t>Pièce du boucher</t>
        </is>
      </c>
      <c r="D132">
        <f>IFERROR(VLOOKUP(C132,ANALYSE!A:F,6,FALSE),0)</f>
        <v/>
      </c>
      <c r="E132">
        <f>ROUND(PREVISION_SERVICE!D6*D132,1)</f>
        <v/>
      </c>
      <c r="F132" t="inlineStr">
        <is>
          <t>portion</t>
        </is>
      </c>
      <c r="G132" t="inlineStr">
        <is>
          <t>Ludovic</t>
        </is>
      </c>
    </row>
    <row r="133">
      <c r="A133">
        <f>PREVISION_SERVICE!A6</f>
        <v/>
      </c>
      <c r="B133">
        <f>PREVISION_SERVICE!C6</f>
        <v/>
      </c>
      <c r="C133" t="inlineStr">
        <is>
          <t>Magret de canard</t>
        </is>
      </c>
      <c r="D133">
        <f>IFERROR(VLOOKUP(C133,ANALYSE!A:F,6,FALSE),0)</f>
        <v/>
      </c>
      <c r="E133">
        <f>ROUND(PREVISION_SERVICE!D6*D133,1)</f>
        <v/>
      </c>
      <c r="F133" t="inlineStr">
        <is>
          <t>portion</t>
        </is>
      </c>
      <c r="G133" t="inlineStr">
        <is>
          <t>Ludovic</t>
        </is>
      </c>
    </row>
    <row r="134">
      <c r="A134">
        <f>PREVISION_SERVICE!A6</f>
        <v/>
      </c>
      <c r="B134">
        <f>PREVISION_SERVICE!C6</f>
        <v/>
      </c>
      <c r="C134" t="inlineStr">
        <is>
          <t>Côte de boeuf</t>
        </is>
      </c>
      <c r="D134">
        <f>IFERROR(VLOOKUP(C134,ANALYSE!A:F,6,FALSE),0)</f>
        <v/>
      </c>
      <c r="E134">
        <f>ROUND(PREVISION_SERVICE!D6*D134,1)</f>
        <v/>
      </c>
      <c r="F134" t="inlineStr">
        <is>
          <t>portion</t>
        </is>
      </c>
      <c r="G134" t="inlineStr">
        <is>
          <t>Ludovic</t>
        </is>
      </c>
    </row>
    <row r="135">
      <c r="A135">
        <f>PREVISION_SERVICE!A6</f>
        <v/>
      </c>
      <c r="B135">
        <f>PREVISION_SERVICE!C6</f>
        <v/>
      </c>
      <c r="C135" t="inlineStr">
        <is>
          <t>Filet de poisson frais</t>
        </is>
      </c>
      <c r="D135">
        <f>IFERROR(VLOOKUP(C135,ANALYSE!A:F,6,FALSE),0)</f>
        <v/>
      </c>
      <c r="E135">
        <f>ROUND(PREVISION_SERVICE!D6*D135,1)</f>
        <v/>
      </c>
      <c r="F135" t="inlineStr">
        <is>
          <t>portion</t>
        </is>
      </c>
      <c r="G135" t="inlineStr">
        <is>
          <t>Ludovic</t>
        </is>
      </c>
    </row>
    <row r="136">
      <c r="A136">
        <f>PREVISION_SERVICE!A6</f>
        <v/>
      </c>
      <c r="B136">
        <f>PREVISION_SERVICE!C6</f>
        <v/>
      </c>
      <c r="C136" t="inlineStr">
        <is>
          <t>Tartare de poisson</t>
        </is>
      </c>
      <c r="D136">
        <f>IFERROR(VLOOKUP(C136,ANALYSE!A:F,6,FALSE),0)</f>
        <v/>
      </c>
      <c r="E136">
        <f>ROUND(PREVISION_SERVICE!D6*D136,1)</f>
        <v/>
      </c>
      <c r="F136" t="inlineStr">
        <is>
          <t>portion</t>
        </is>
      </c>
      <c r="G136" t="inlineStr">
        <is>
          <t>Ludovic</t>
        </is>
      </c>
    </row>
    <row r="137">
      <c r="A137">
        <f>PREVISION_SERVICE!A6</f>
        <v/>
      </c>
      <c r="B137">
        <f>PREVISION_SERVICE!C6</f>
        <v/>
      </c>
      <c r="C137" t="inlineStr">
        <is>
          <t>Frites maison</t>
        </is>
      </c>
      <c r="D137">
        <f>IFERROR(VLOOKUP(C137,ANALYSE!A:F,6,FALSE),0)</f>
        <v/>
      </c>
      <c r="E137">
        <f>ROUND(PREVISION_SERVICE!D6*D137,1)</f>
        <v/>
      </c>
      <c r="F137" t="inlineStr">
        <is>
          <t>portion</t>
        </is>
      </c>
      <c r="G137" t="inlineStr">
        <is>
          <t>Ludovic</t>
        </is>
      </c>
    </row>
    <row r="138">
      <c r="A138">
        <f>PREVISION_SERVICE!A6</f>
        <v/>
      </c>
      <c r="B138">
        <f>PREVISION_SERVICE!C6</f>
        <v/>
      </c>
      <c r="C138" t="inlineStr">
        <is>
          <t>Salade</t>
        </is>
      </c>
      <c r="D138">
        <f>IFERROR(VLOOKUP(C138,ANALYSE!A:F,6,FALSE),0)</f>
        <v/>
      </c>
      <c r="E138">
        <f>ROUND(PREVISION_SERVICE!D6*D138,1)</f>
        <v/>
      </c>
      <c r="F138" t="inlineStr">
        <is>
          <t>portion</t>
        </is>
      </c>
      <c r="G138" t="inlineStr">
        <is>
          <t>Christelle</t>
        </is>
      </c>
    </row>
    <row r="139">
      <c r="A139">
        <f>PREVISION_SERVICE!A6</f>
        <v/>
      </c>
      <c r="B139">
        <f>PREVISION_SERVICE!C6</f>
        <v/>
      </c>
      <c r="C139" t="inlineStr">
        <is>
          <t>Légumes variés</t>
        </is>
      </c>
      <c r="D139">
        <f>IFERROR(VLOOKUP(C139,ANALYSE!A:F,6,FALSE),0)</f>
        <v/>
      </c>
      <c r="E139">
        <f>ROUND(PREVISION_SERVICE!D6*D139,1)</f>
        <v/>
      </c>
      <c r="F139" t="inlineStr">
        <is>
          <t>portion</t>
        </is>
      </c>
      <c r="G139" t="inlineStr">
        <is>
          <t>Christelle</t>
        </is>
      </c>
    </row>
    <row r="140">
      <c r="A140">
        <f>PREVISION_SERVICE!A6</f>
        <v/>
      </c>
      <c r="B140">
        <f>PREVISION_SERVICE!C6</f>
        <v/>
      </c>
      <c r="C140" t="inlineStr">
        <is>
          <t>Gratin</t>
        </is>
      </c>
      <c r="D140">
        <f>IFERROR(VLOOKUP(C140,ANALYSE!A:F,6,FALSE),0)</f>
        <v/>
      </c>
      <c r="E140">
        <f>ROUND(PREVISION_SERVICE!D6*D140,1)</f>
        <v/>
      </c>
      <c r="F140" t="inlineStr">
        <is>
          <t>portion</t>
        </is>
      </c>
      <c r="G140" t="inlineStr">
        <is>
          <t>Christelle</t>
        </is>
      </c>
    </row>
    <row r="141">
      <c r="A141">
        <f>PREVISION_SERVICE!A6</f>
        <v/>
      </c>
      <c r="B141">
        <f>PREVISION_SERVICE!C6</f>
        <v/>
      </c>
      <c r="C141" t="inlineStr">
        <is>
          <t>Fondant chocolat</t>
        </is>
      </c>
      <c r="D141">
        <f>IFERROR(VLOOKUP(C141,ANALYSE!A:F,6,FALSE),0)</f>
        <v/>
      </c>
      <c r="E141">
        <f>ROUND(PREVISION_SERVICE!D6*D141,1)</f>
        <v/>
      </c>
      <c r="F141" t="inlineStr">
        <is>
          <t>portion</t>
        </is>
      </c>
      <c r="G141" t="inlineStr">
        <is>
          <t>Christelle</t>
        </is>
      </c>
    </row>
    <row r="142">
      <c r="A142">
        <f>PREVISION_SERVICE!A6</f>
        <v/>
      </c>
      <c r="B142">
        <f>PREVISION_SERVICE!C6</f>
        <v/>
      </c>
      <c r="C142" t="inlineStr">
        <is>
          <t>Tartelettes</t>
        </is>
      </c>
      <c r="D142">
        <f>IFERROR(VLOOKUP(C142,ANALYSE!A:F,6,FALSE),0)</f>
        <v/>
      </c>
      <c r="E142">
        <f>ROUND(PREVISION_SERVICE!D6*D142,1)</f>
        <v/>
      </c>
      <c r="F142" t="inlineStr">
        <is>
          <t>portion</t>
        </is>
      </c>
      <c r="G142" t="inlineStr">
        <is>
          <t>Christelle</t>
        </is>
      </c>
    </row>
    <row r="143">
      <c r="A143">
        <f>PREVISION_SERVICE!A6</f>
        <v/>
      </c>
      <c r="B143">
        <f>PREVISION_SERVICE!C6</f>
        <v/>
      </c>
      <c r="C143" t="inlineStr">
        <is>
          <t>Profiteroles</t>
        </is>
      </c>
      <c r="D143">
        <f>IFERROR(VLOOKUP(C143,ANALYSE!A:F,6,FALSE),0)</f>
        <v/>
      </c>
      <c r="E143">
        <f>ROUND(PREVISION_SERVICE!D6*D143,1)</f>
        <v/>
      </c>
      <c r="F143" t="inlineStr">
        <is>
          <t>portion</t>
        </is>
      </c>
      <c r="G143" t="inlineStr">
        <is>
          <t>Christelle</t>
        </is>
      </c>
    </row>
    <row r="144">
      <c r="A144">
        <f>PREVISION_SERVICE!A6</f>
        <v/>
      </c>
      <c r="B144">
        <f>PREVISION_SERVICE!C6</f>
        <v/>
      </c>
      <c r="C144" t="inlineStr">
        <is>
          <t>Gaufres</t>
        </is>
      </c>
      <c r="D144">
        <f>IFERROR(VLOOKUP(C144,ANALYSE!A:F,6,FALSE),0)</f>
        <v/>
      </c>
      <c r="E144">
        <f>ROUND(PREVISION_SERVICE!D6*D144,1)</f>
        <v/>
      </c>
      <c r="F144" t="inlineStr">
        <is>
          <t>portion</t>
        </is>
      </c>
      <c r="G144" t="inlineStr">
        <is>
          <t>Christelle</t>
        </is>
      </c>
    </row>
    <row r="145">
      <c r="A145">
        <f>PREVISION_SERVICE!A6</f>
        <v/>
      </c>
      <c r="B145">
        <f>PREVISION_SERVICE!C6</f>
        <v/>
      </c>
      <c r="C145" t="inlineStr">
        <is>
          <t>Compotée</t>
        </is>
      </c>
      <c r="D145">
        <f>IFERROR(VLOOKUP(C145,ANALYSE!A:F,6,FALSE),0)</f>
        <v/>
      </c>
      <c r="E145">
        <f>ROUND(PREVISION_SERVICE!D6*D145,1)</f>
        <v/>
      </c>
      <c r="F145" t="inlineStr">
        <is>
          <t>portion</t>
        </is>
      </c>
      <c r="G145" t="inlineStr">
        <is>
          <t>Christelle</t>
        </is>
      </c>
    </row>
    <row r="146">
      <c r="A146">
        <f>PREVISION_SERVICE!A6</f>
        <v/>
      </c>
      <c r="B146">
        <f>PREVISION_SERVICE!C6</f>
        <v/>
      </c>
      <c r="C146" t="inlineStr">
        <is>
          <t>Boule de glace</t>
        </is>
      </c>
      <c r="D146">
        <f>IFERROR(VLOOKUP(C146,ANALYSE!A:F,6,FALSE),0)</f>
        <v/>
      </c>
      <c r="E146">
        <f>ROUND(PREVISION_SERVICE!D6*D146,1)</f>
        <v/>
      </c>
      <c r="F146" t="inlineStr">
        <is>
          <t>portion</t>
        </is>
      </c>
      <c r="G146" t="inlineStr">
        <is>
          <t>Christelle</t>
        </is>
      </c>
    </row>
    <row r="147">
      <c r="A147">
        <f>PREVISION_SERVICE!A7</f>
        <v/>
      </c>
      <c r="B147">
        <f>PREVISION_SERVICE!C7</f>
        <v/>
      </c>
      <c r="C147" t="inlineStr">
        <is>
          <t>Accras</t>
        </is>
      </c>
      <c r="D147">
        <f>IFERROR(VLOOKUP(C147,ANALYSE!A:F,6,FALSE),0)</f>
        <v/>
      </c>
      <c r="E147">
        <f>ROUND(PREVISION_SERVICE!D7*D147,1)</f>
        <v/>
      </c>
      <c r="F147" t="inlineStr">
        <is>
          <t>portion</t>
        </is>
      </c>
      <c r="G147" t="inlineStr">
        <is>
          <t>Christelle</t>
        </is>
      </c>
    </row>
    <row r="148">
      <c r="A148">
        <f>PREVISION_SERVICE!A7</f>
        <v/>
      </c>
      <c r="B148">
        <f>PREVISION_SERVICE!C7</f>
        <v/>
      </c>
      <c r="C148" t="inlineStr">
        <is>
          <t>Nems</t>
        </is>
      </c>
      <c r="D148">
        <f>IFERROR(VLOOKUP(C148,ANALYSE!A:F,6,FALSE),0)</f>
        <v/>
      </c>
      <c r="E148">
        <f>ROUND(PREVISION_SERVICE!D7*D148,1)</f>
        <v/>
      </c>
      <c r="F148" t="inlineStr">
        <is>
          <t>portion</t>
        </is>
      </c>
      <c r="G148" t="inlineStr">
        <is>
          <t>Christelle</t>
        </is>
      </c>
    </row>
    <row r="149">
      <c r="A149">
        <f>PREVISION_SERVICE!A7</f>
        <v/>
      </c>
      <c r="B149">
        <f>PREVISION_SERVICE!C7</f>
        <v/>
      </c>
      <c r="C149" t="inlineStr">
        <is>
          <t>Samoussas</t>
        </is>
      </c>
      <c r="D149">
        <f>IFERROR(VLOOKUP(C149,ANALYSE!A:F,6,FALSE),0)</f>
        <v/>
      </c>
      <c r="E149">
        <f>ROUND(PREVISION_SERVICE!D7*D149,1)</f>
        <v/>
      </c>
      <c r="F149" t="inlineStr">
        <is>
          <t>portion</t>
        </is>
      </c>
      <c r="G149" t="inlineStr">
        <is>
          <t>Christelle</t>
        </is>
      </c>
    </row>
    <row r="150">
      <c r="A150">
        <f>PREVISION_SERVICE!A7</f>
        <v/>
      </c>
      <c r="B150">
        <f>PREVISION_SERVICE!C7</f>
        <v/>
      </c>
      <c r="C150" t="inlineStr">
        <is>
          <t>Crevettes tempura</t>
        </is>
      </c>
      <c r="D150">
        <f>IFERROR(VLOOKUP(C150,ANALYSE!A:F,6,FALSE),0)</f>
        <v/>
      </c>
      <c r="E150">
        <f>ROUND(PREVISION_SERVICE!D7*D150,1)</f>
        <v/>
      </c>
      <c r="F150" t="inlineStr">
        <is>
          <t>portion</t>
        </is>
      </c>
      <c r="G150" t="inlineStr">
        <is>
          <t>Christelle</t>
        </is>
      </c>
    </row>
    <row r="151">
      <c r="A151">
        <f>PREVISION_SERVICE!A7</f>
        <v/>
      </c>
      <c r="B151">
        <f>PREVISION_SERVICE!C7</f>
        <v/>
      </c>
      <c r="C151" t="inlineStr">
        <is>
          <t>Pisquettes</t>
        </is>
      </c>
      <c r="D151">
        <f>IFERROR(VLOOKUP(C151,ANALYSE!A:F,6,FALSE),0)</f>
        <v/>
      </c>
      <c r="E151">
        <f>ROUND(PREVISION_SERVICE!D7*D151,1)</f>
        <v/>
      </c>
      <c r="F151" t="inlineStr">
        <is>
          <t>portion</t>
        </is>
      </c>
      <c r="G151" t="inlineStr">
        <is>
          <t>Christelle</t>
        </is>
      </c>
    </row>
    <row r="152">
      <c r="A152">
        <f>PREVISION_SERVICE!A7</f>
        <v/>
      </c>
      <c r="B152">
        <f>PREVISION_SERVICE!C7</f>
        <v/>
      </c>
      <c r="C152" t="inlineStr">
        <is>
          <t>Tapas trio</t>
        </is>
      </c>
      <c r="D152">
        <f>IFERROR(VLOOKUP(C152,ANALYSE!A:F,6,FALSE),0)</f>
        <v/>
      </c>
      <c r="E152">
        <f>ROUND(PREVISION_SERVICE!D7*D152,1)</f>
        <v/>
      </c>
      <c r="F152" t="inlineStr">
        <is>
          <t>portion</t>
        </is>
      </c>
      <c r="G152" t="inlineStr">
        <is>
          <t>Christelle</t>
        </is>
      </c>
    </row>
    <row r="153">
      <c r="A153">
        <f>PREVISION_SERVICE!A7</f>
        <v/>
      </c>
      <c r="B153">
        <f>PREVISION_SERVICE!C7</f>
        <v/>
      </c>
      <c r="C153" t="inlineStr">
        <is>
          <t>Assiette créole</t>
        </is>
      </c>
      <c r="D153">
        <f>IFERROR(VLOOKUP(C153,ANALYSE!A:F,6,FALSE),0)</f>
        <v/>
      </c>
      <c r="E153">
        <f>ROUND(PREVISION_SERVICE!D7*D153,1)</f>
        <v/>
      </c>
      <c r="F153" t="inlineStr">
        <is>
          <t>portion</t>
        </is>
      </c>
      <c r="G153" t="inlineStr">
        <is>
          <t>Christelle</t>
        </is>
      </c>
    </row>
    <row r="154">
      <c r="A154">
        <f>PREVISION_SERVICE!A7</f>
        <v/>
      </c>
      <c r="B154">
        <f>PREVISION_SERVICE!C7</f>
        <v/>
      </c>
      <c r="C154" t="inlineStr">
        <is>
          <t>Salade Cap Est</t>
        </is>
      </c>
      <c r="D154">
        <f>IFERROR(VLOOKUP(C154,ANALYSE!A:F,6,FALSE),0)</f>
        <v/>
      </c>
      <c r="E154">
        <f>ROUND(PREVISION_SERVICE!D7*D154,1)</f>
        <v/>
      </c>
      <c r="F154" t="inlineStr">
        <is>
          <t>portion</t>
        </is>
      </c>
      <c r="G154" t="inlineStr">
        <is>
          <t>Christelle</t>
        </is>
      </c>
    </row>
    <row r="155">
      <c r="A155">
        <f>PREVISION_SERVICE!A7</f>
        <v/>
      </c>
      <c r="B155">
        <f>PREVISION_SERVICE!C7</f>
        <v/>
      </c>
      <c r="C155" t="inlineStr">
        <is>
          <t>Brochette de boeuf</t>
        </is>
      </c>
      <c r="D155">
        <f>IFERROR(VLOOKUP(C155,ANALYSE!A:F,6,FALSE),0)</f>
        <v/>
      </c>
      <c r="E155">
        <f>ROUND(PREVISION_SERVICE!D7*D155,1)</f>
        <v/>
      </c>
      <c r="F155" t="inlineStr">
        <is>
          <t>portion</t>
        </is>
      </c>
      <c r="G155" t="inlineStr">
        <is>
          <t>Ludovic</t>
        </is>
      </c>
    </row>
    <row r="156">
      <c r="A156">
        <f>PREVISION_SERVICE!A7</f>
        <v/>
      </c>
      <c r="B156">
        <f>PREVISION_SERVICE!C7</f>
        <v/>
      </c>
      <c r="C156" t="inlineStr">
        <is>
          <t>Brochette de crevettes</t>
        </is>
      </c>
      <c r="D156">
        <f>IFERROR(VLOOKUP(C156,ANALYSE!A:F,6,FALSE),0)</f>
        <v/>
      </c>
      <c r="E156">
        <f>ROUND(PREVISION_SERVICE!D7*D156,1)</f>
        <v/>
      </c>
      <c r="F156" t="inlineStr">
        <is>
          <t>portion</t>
        </is>
      </c>
      <c r="G156" t="inlineStr">
        <is>
          <t>Ludovic</t>
        </is>
      </c>
    </row>
    <row r="157">
      <c r="A157">
        <f>PREVISION_SERVICE!A7</f>
        <v/>
      </c>
      <c r="B157">
        <f>PREVISION_SERVICE!C7</f>
        <v/>
      </c>
      <c r="C157" t="inlineStr">
        <is>
          <t>Brochette de poisson</t>
        </is>
      </c>
      <c r="D157">
        <f>IFERROR(VLOOKUP(C157,ANALYSE!A:F,6,FALSE),0)</f>
        <v/>
      </c>
      <c r="E157">
        <f>ROUND(PREVISION_SERVICE!D7*D157,1)</f>
        <v/>
      </c>
      <c r="F157" t="inlineStr">
        <is>
          <t>portion</t>
        </is>
      </c>
      <c r="G157" t="inlineStr">
        <is>
          <t>Ludovic</t>
        </is>
      </c>
    </row>
    <row r="158">
      <c r="A158">
        <f>PREVISION_SERVICE!A7</f>
        <v/>
      </c>
      <c r="B158">
        <f>PREVISION_SERVICE!C7</f>
        <v/>
      </c>
      <c r="C158" t="inlineStr">
        <is>
          <t>Brochette de poulet</t>
        </is>
      </c>
      <c r="D158">
        <f>IFERROR(VLOOKUP(C158,ANALYSE!A:F,6,FALSE),0)</f>
        <v/>
      </c>
      <c r="E158">
        <f>ROUND(PREVISION_SERVICE!D7*D158,1)</f>
        <v/>
      </c>
      <c r="F158" t="inlineStr">
        <is>
          <t>portion</t>
        </is>
      </c>
      <c r="G158" t="inlineStr">
        <is>
          <t>Ludovic</t>
        </is>
      </c>
    </row>
    <row r="159">
      <c r="A159">
        <f>PREVISION_SERVICE!A7</f>
        <v/>
      </c>
      <c r="B159">
        <f>PREVISION_SERVICE!C7</f>
        <v/>
      </c>
      <c r="C159" t="inlineStr">
        <is>
          <t>Brochette de légumes</t>
        </is>
      </c>
      <c r="D159">
        <f>IFERROR(VLOOKUP(C159,ANALYSE!A:F,6,FALSE),0)</f>
        <v/>
      </c>
      <c r="E159">
        <f>ROUND(PREVISION_SERVICE!D7*D159,1)</f>
        <v/>
      </c>
      <c r="F159" t="inlineStr">
        <is>
          <t>portion</t>
        </is>
      </c>
      <c r="G159" t="inlineStr">
        <is>
          <t>Ludovic</t>
        </is>
      </c>
    </row>
    <row r="160">
      <c r="A160">
        <f>PREVISION_SERVICE!A7</f>
        <v/>
      </c>
      <c r="B160">
        <f>PREVISION_SERVICE!C7</f>
        <v/>
      </c>
      <c r="C160" t="inlineStr">
        <is>
          <t>Entrecôte</t>
        </is>
      </c>
      <c r="D160">
        <f>IFERROR(VLOOKUP(C160,ANALYSE!A:F,6,FALSE),0)</f>
        <v/>
      </c>
      <c r="E160">
        <f>ROUND(PREVISION_SERVICE!D7*D160,1)</f>
        <v/>
      </c>
      <c r="F160" t="inlineStr">
        <is>
          <t>portion</t>
        </is>
      </c>
      <c r="G160" t="inlineStr">
        <is>
          <t>Ludovic</t>
        </is>
      </c>
    </row>
    <row r="161">
      <c r="A161">
        <f>PREVISION_SERVICE!A7</f>
        <v/>
      </c>
      <c r="B161">
        <f>PREVISION_SERVICE!C7</f>
        <v/>
      </c>
      <c r="C161" t="inlineStr">
        <is>
          <t>Pièce du boucher</t>
        </is>
      </c>
      <c r="D161">
        <f>IFERROR(VLOOKUP(C161,ANALYSE!A:F,6,FALSE),0)</f>
        <v/>
      </c>
      <c r="E161">
        <f>ROUND(PREVISION_SERVICE!D7*D161,1)</f>
        <v/>
      </c>
      <c r="F161" t="inlineStr">
        <is>
          <t>portion</t>
        </is>
      </c>
      <c r="G161" t="inlineStr">
        <is>
          <t>Ludovic</t>
        </is>
      </c>
    </row>
    <row r="162">
      <c r="A162">
        <f>PREVISION_SERVICE!A7</f>
        <v/>
      </c>
      <c r="B162">
        <f>PREVISION_SERVICE!C7</f>
        <v/>
      </c>
      <c r="C162" t="inlineStr">
        <is>
          <t>Magret de canard</t>
        </is>
      </c>
      <c r="D162">
        <f>IFERROR(VLOOKUP(C162,ANALYSE!A:F,6,FALSE),0)</f>
        <v/>
      </c>
      <c r="E162">
        <f>ROUND(PREVISION_SERVICE!D7*D162,1)</f>
        <v/>
      </c>
      <c r="F162" t="inlineStr">
        <is>
          <t>portion</t>
        </is>
      </c>
      <c r="G162" t="inlineStr">
        <is>
          <t>Ludovic</t>
        </is>
      </c>
    </row>
    <row r="163">
      <c r="A163">
        <f>PREVISION_SERVICE!A7</f>
        <v/>
      </c>
      <c r="B163">
        <f>PREVISION_SERVICE!C7</f>
        <v/>
      </c>
      <c r="C163" t="inlineStr">
        <is>
          <t>Côte de boeuf</t>
        </is>
      </c>
      <c r="D163">
        <f>IFERROR(VLOOKUP(C163,ANALYSE!A:F,6,FALSE),0)</f>
        <v/>
      </c>
      <c r="E163">
        <f>ROUND(PREVISION_SERVICE!D7*D163,1)</f>
        <v/>
      </c>
      <c r="F163" t="inlineStr">
        <is>
          <t>portion</t>
        </is>
      </c>
      <c r="G163" t="inlineStr">
        <is>
          <t>Ludovic</t>
        </is>
      </c>
    </row>
    <row r="164">
      <c r="A164">
        <f>PREVISION_SERVICE!A7</f>
        <v/>
      </c>
      <c r="B164">
        <f>PREVISION_SERVICE!C7</f>
        <v/>
      </c>
      <c r="C164" t="inlineStr">
        <is>
          <t>Filet de poisson frais</t>
        </is>
      </c>
      <c r="D164">
        <f>IFERROR(VLOOKUP(C164,ANALYSE!A:F,6,FALSE),0)</f>
        <v/>
      </c>
      <c r="E164">
        <f>ROUND(PREVISION_SERVICE!D7*D164,1)</f>
        <v/>
      </c>
      <c r="F164" t="inlineStr">
        <is>
          <t>portion</t>
        </is>
      </c>
      <c r="G164" t="inlineStr">
        <is>
          <t>Ludovic</t>
        </is>
      </c>
    </row>
    <row r="165">
      <c r="A165">
        <f>PREVISION_SERVICE!A7</f>
        <v/>
      </c>
      <c r="B165">
        <f>PREVISION_SERVICE!C7</f>
        <v/>
      </c>
      <c r="C165" t="inlineStr">
        <is>
          <t>Tartare de poisson</t>
        </is>
      </c>
      <c r="D165">
        <f>IFERROR(VLOOKUP(C165,ANALYSE!A:F,6,FALSE),0)</f>
        <v/>
      </c>
      <c r="E165">
        <f>ROUND(PREVISION_SERVICE!D7*D165,1)</f>
        <v/>
      </c>
      <c r="F165" t="inlineStr">
        <is>
          <t>portion</t>
        </is>
      </c>
      <c r="G165" t="inlineStr">
        <is>
          <t>Ludovic</t>
        </is>
      </c>
    </row>
    <row r="166">
      <c r="A166">
        <f>PREVISION_SERVICE!A7</f>
        <v/>
      </c>
      <c r="B166">
        <f>PREVISION_SERVICE!C7</f>
        <v/>
      </c>
      <c r="C166" t="inlineStr">
        <is>
          <t>Frites maison</t>
        </is>
      </c>
      <c r="D166">
        <f>IFERROR(VLOOKUP(C166,ANALYSE!A:F,6,FALSE),0)</f>
        <v/>
      </c>
      <c r="E166">
        <f>ROUND(PREVISION_SERVICE!D7*D166,1)</f>
        <v/>
      </c>
      <c r="F166" t="inlineStr">
        <is>
          <t>portion</t>
        </is>
      </c>
      <c r="G166" t="inlineStr">
        <is>
          <t>Ludovic</t>
        </is>
      </c>
    </row>
    <row r="167">
      <c r="A167">
        <f>PREVISION_SERVICE!A7</f>
        <v/>
      </c>
      <c r="B167">
        <f>PREVISION_SERVICE!C7</f>
        <v/>
      </c>
      <c r="C167" t="inlineStr">
        <is>
          <t>Salade</t>
        </is>
      </c>
      <c r="D167">
        <f>IFERROR(VLOOKUP(C167,ANALYSE!A:F,6,FALSE),0)</f>
        <v/>
      </c>
      <c r="E167">
        <f>ROUND(PREVISION_SERVICE!D7*D167,1)</f>
        <v/>
      </c>
      <c r="F167" t="inlineStr">
        <is>
          <t>portion</t>
        </is>
      </c>
      <c r="G167" t="inlineStr">
        <is>
          <t>Christelle</t>
        </is>
      </c>
    </row>
    <row r="168">
      <c r="A168">
        <f>PREVISION_SERVICE!A7</f>
        <v/>
      </c>
      <c r="B168">
        <f>PREVISION_SERVICE!C7</f>
        <v/>
      </c>
      <c r="C168" t="inlineStr">
        <is>
          <t>Légumes variés</t>
        </is>
      </c>
      <c r="D168">
        <f>IFERROR(VLOOKUP(C168,ANALYSE!A:F,6,FALSE),0)</f>
        <v/>
      </c>
      <c r="E168">
        <f>ROUND(PREVISION_SERVICE!D7*D168,1)</f>
        <v/>
      </c>
      <c r="F168" t="inlineStr">
        <is>
          <t>portion</t>
        </is>
      </c>
      <c r="G168" t="inlineStr">
        <is>
          <t>Christelle</t>
        </is>
      </c>
    </row>
    <row r="169">
      <c r="A169">
        <f>PREVISION_SERVICE!A7</f>
        <v/>
      </c>
      <c r="B169">
        <f>PREVISION_SERVICE!C7</f>
        <v/>
      </c>
      <c r="C169" t="inlineStr">
        <is>
          <t>Gratin</t>
        </is>
      </c>
      <c r="D169">
        <f>IFERROR(VLOOKUP(C169,ANALYSE!A:F,6,FALSE),0)</f>
        <v/>
      </c>
      <c r="E169">
        <f>ROUND(PREVISION_SERVICE!D7*D169,1)</f>
        <v/>
      </c>
      <c r="F169" t="inlineStr">
        <is>
          <t>portion</t>
        </is>
      </c>
      <c r="G169" t="inlineStr">
        <is>
          <t>Christelle</t>
        </is>
      </c>
    </row>
    <row r="170">
      <c r="A170">
        <f>PREVISION_SERVICE!A7</f>
        <v/>
      </c>
      <c r="B170">
        <f>PREVISION_SERVICE!C7</f>
        <v/>
      </c>
      <c r="C170" t="inlineStr">
        <is>
          <t>Fondant chocolat</t>
        </is>
      </c>
      <c r="D170">
        <f>IFERROR(VLOOKUP(C170,ANALYSE!A:F,6,FALSE),0)</f>
        <v/>
      </c>
      <c r="E170">
        <f>ROUND(PREVISION_SERVICE!D7*D170,1)</f>
        <v/>
      </c>
      <c r="F170" t="inlineStr">
        <is>
          <t>portion</t>
        </is>
      </c>
      <c r="G170" t="inlineStr">
        <is>
          <t>Christelle</t>
        </is>
      </c>
    </row>
    <row r="171">
      <c r="A171">
        <f>PREVISION_SERVICE!A7</f>
        <v/>
      </c>
      <c r="B171">
        <f>PREVISION_SERVICE!C7</f>
        <v/>
      </c>
      <c r="C171" t="inlineStr">
        <is>
          <t>Tartelettes</t>
        </is>
      </c>
      <c r="D171">
        <f>IFERROR(VLOOKUP(C171,ANALYSE!A:F,6,FALSE),0)</f>
        <v/>
      </c>
      <c r="E171">
        <f>ROUND(PREVISION_SERVICE!D7*D171,1)</f>
        <v/>
      </c>
      <c r="F171" t="inlineStr">
        <is>
          <t>portion</t>
        </is>
      </c>
      <c r="G171" t="inlineStr">
        <is>
          <t>Christelle</t>
        </is>
      </c>
    </row>
    <row r="172">
      <c r="A172">
        <f>PREVISION_SERVICE!A7</f>
        <v/>
      </c>
      <c r="B172">
        <f>PREVISION_SERVICE!C7</f>
        <v/>
      </c>
      <c r="C172" t="inlineStr">
        <is>
          <t>Profiteroles</t>
        </is>
      </c>
      <c r="D172">
        <f>IFERROR(VLOOKUP(C172,ANALYSE!A:F,6,FALSE),0)</f>
        <v/>
      </c>
      <c r="E172">
        <f>ROUND(PREVISION_SERVICE!D7*D172,1)</f>
        <v/>
      </c>
      <c r="F172" t="inlineStr">
        <is>
          <t>portion</t>
        </is>
      </c>
      <c r="G172" t="inlineStr">
        <is>
          <t>Christelle</t>
        </is>
      </c>
    </row>
    <row r="173">
      <c r="A173">
        <f>PREVISION_SERVICE!A7</f>
        <v/>
      </c>
      <c r="B173">
        <f>PREVISION_SERVICE!C7</f>
        <v/>
      </c>
      <c r="C173" t="inlineStr">
        <is>
          <t>Gaufres</t>
        </is>
      </c>
      <c r="D173">
        <f>IFERROR(VLOOKUP(C173,ANALYSE!A:F,6,FALSE),0)</f>
        <v/>
      </c>
      <c r="E173">
        <f>ROUND(PREVISION_SERVICE!D7*D173,1)</f>
        <v/>
      </c>
      <c r="F173" t="inlineStr">
        <is>
          <t>portion</t>
        </is>
      </c>
      <c r="G173" t="inlineStr">
        <is>
          <t>Christelle</t>
        </is>
      </c>
    </row>
    <row r="174">
      <c r="A174">
        <f>PREVISION_SERVICE!A7</f>
        <v/>
      </c>
      <c r="B174">
        <f>PREVISION_SERVICE!C7</f>
        <v/>
      </c>
      <c r="C174" t="inlineStr">
        <is>
          <t>Compotée</t>
        </is>
      </c>
      <c r="D174">
        <f>IFERROR(VLOOKUP(C174,ANALYSE!A:F,6,FALSE),0)</f>
        <v/>
      </c>
      <c r="E174">
        <f>ROUND(PREVISION_SERVICE!D7*D174,1)</f>
        <v/>
      </c>
      <c r="F174" t="inlineStr">
        <is>
          <t>portion</t>
        </is>
      </c>
      <c r="G174" t="inlineStr">
        <is>
          <t>Christelle</t>
        </is>
      </c>
    </row>
    <row r="175">
      <c r="A175">
        <f>PREVISION_SERVICE!A7</f>
        <v/>
      </c>
      <c r="B175">
        <f>PREVISION_SERVICE!C7</f>
        <v/>
      </c>
      <c r="C175" t="inlineStr">
        <is>
          <t>Boule de glace</t>
        </is>
      </c>
      <c r="D175">
        <f>IFERROR(VLOOKUP(C175,ANALYSE!A:F,6,FALSE),0)</f>
        <v/>
      </c>
      <c r="E175">
        <f>ROUND(PREVISION_SERVICE!D7*D175,1)</f>
        <v/>
      </c>
      <c r="F175" t="inlineStr">
        <is>
          <t>portion</t>
        </is>
      </c>
      <c r="G175" t="inlineStr">
        <is>
          <t>Christelle</t>
        </is>
      </c>
    </row>
    <row r="176">
      <c r="A176">
        <f>PREVISION_SERVICE!A8</f>
        <v/>
      </c>
      <c r="B176">
        <f>PREVISION_SERVICE!C8</f>
        <v/>
      </c>
      <c r="C176" t="inlineStr">
        <is>
          <t>Accras</t>
        </is>
      </c>
      <c r="D176">
        <f>IFERROR(VLOOKUP(C176,ANALYSE!A:F,6,FALSE),0)</f>
        <v/>
      </c>
      <c r="E176">
        <f>ROUND(PREVISION_SERVICE!D8*D176,1)</f>
        <v/>
      </c>
      <c r="F176" t="inlineStr">
        <is>
          <t>portion</t>
        </is>
      </c>
      <c r="G176" t="inlineStr">
        <is>
          <t>Christelle</t>
        </is>
      </c>
    </row>
    <row r="177">
      <c r="A177">
        <f>PREVISION_SERVICE!A8</f>
        <v/>
      </c>
      <c r="B177">
        <f>PREVISION_SERVICE!C8</f>
        <v/>
      </c>
      <c r="C177" t="inlineStr">
        <is>
          <t>Nems</t>
        </is>
      </c>
      <c r="D177">
        <f>IFERROR(VLOOKUP(C177,ANALYSE!A:F,6,FALSE),0)</f>
        <v/>
      </c>
      <c r="E177">
        <f>ROUND(PREVISION_SERVICE!D8*D177,1)</f>
        <v/>
      </c>
      <c r="F177" t="inlineStr">
        <is>
          <t>portion</t>
        </is>
      </c>
      <c r="G177" t="inlineStr">
        <is>
          <t>Christelle</t>
        </is>
      </c>
    </row>
    <row r="178">
      <c r="A178">
        <f>PREVISION_SERVICE!A8</f>
        <v/>
      </c>
      <c r="B178">
        <f>PREVISION_SERVICE!C8</f>
        <v/>
      </c>
      <c r="C178" t="inlineStr">
        <is>
          <t>Samoussas</t>
        </is>
      </c>
      <c r="D178">
        <f>IFERROR(VLOOKUP(C178,ANALYSE!A:F,6,FALSE),0)</f>
        <v/>
      </c>
      <c r="E178">
        <f>ROUND(PREVISION_SERVICE!D8*D178,1)</f>
        <v/>
      </c>
      <c r="F178" t="inlineStr">
        <is>
          <t>portion</t>
        </is>
      </c>
      <c r="G178" t="inlineStr">
        <is>
          <t>Christelle</t>
        </is>
      </c>
    </row>
    <row r="179">
      <c r="A179">
        <f>PREVISION_SERVICE!A8</f>
        <v/>
      </c>
      <c r="B179">
        <f>PREVISION_SERVICE!C8</f>
        <v/>
      </c>
      <c r="C179" t="inlineStr">
        <is>
          <t>Crevettes tempura</t>
        </is>
      </c>
      <c r="D179">
        <f>IFERROR(VLOOKUP(C179,ANALYSE!A:F,6,FALSE),0)</f>
        <v/>
      </c>
      <c r="E179">
        <f>ROUND(PREVISION_SERVICE!D8*D179,1)</f>
        <v/>
      </c>
      <c r="F179" t="inlineStr">
        <is>
          <t>portion</t>
        </is>
      </c>
      <c r="G179" t="inlineStr">
        <is>
          <t>Christelle</t>
        </is>
      </c>
    </row>
    <row r="180">
      <c r="A180">
        <f>PREVISION_SERVICE!A8</f>
        <v/>
      </c>
      <c r="B180">
        <f>PREVISION_SERVICE!C8</f>
        <v/>
      </c>
      <c r="C180" t="inlineStr">
        <is>
          <t>Pisquettes</t>
        </is>
      </c>
      <c r="D180">
        <f>IFERROR(VLOOKUP(C180,ANALYSE!A:F,6,FALSE),0)</f>
        <v/>
      </c>
      <c r="E180">
        <f>ROUND(PREVISION_SERVICE!D8*D180,1)</f>
        <v/>
      </c>
      <c r="F180" t="inlineStr">
        <is>
          <t>portion</t>
        </is>
      </c>
      <c r="G180" t="inlineStr">
        <is>
          <t>Christelle</t>
        </is>
      </c>
    </row>
    <row r="181">
      <c r="A181">
        <f>PREVISION_SERVICE!A8</f>
        <v/>
      </c>
      <c r="B181">
        <f>PREVISION_SERVICE!C8</f>
        <v/>
      </c>
      <c r="C181" t="inlineStr">
        <is>
          <t>Tapas trio</t>
        </is>
      </c>
      <c r="D181">
        <f>IFERROR(VLOOKUP(C181,ANALYSE!A:F,6,FALSE),0)</f>
        <v/>
      </c>
      <c r="E181">
        <f>ROUND(PREVISION_SERVICE!D8*D181,1)</f>
        <v/>
      </c>
      <c r="F181" t="inlineStr">
        <is>
          <t>portion</t>
        </is>
      </c>
      <c r="G181" t="inlineStr">
        <is>
          <t>Christelle</t>
        </is>
      </c>
    </row>
    <row r="182">
      <c r="A182">
        <f>PREVISION_SERVICE!A8</f>
        <v/>
      </c>
      <c r="B182">
        <f>PREVISION_SERVICE!C8</f>
        <v/>
      </c>
      <c r="C182" t="inlineStr">
        <is>
          <t>Assiette créole</t>
        </is>
      </c>
      <c r="D182">
        <f>IFERROR(VLOOKUP(C182,ANALYSE!A:F,6,FALSE),0)</f>
        <v/>
      </c>
      <c r="E182">
        <f>ROUND(PREVISION_SERVICE!D8*D182,1)</f>
        <v/>
      </c>
      <c r="F182" t="inlineStr">
        <is>
          <t>portion</t>
        </is>
      </c>
      <c r="G182" t="inlineStr">
        <is>
          <t>Christelle</t>
        </is>
      </c>
    </row>
    <row r="183">
      <c r="A183">
        <f>PREVISION_SERVICE!A8</f>
        <v/>
      </c>
      <c r="B183">
        <f>PREVISION_SERVICE!C8</f>
        <v/>
      </c>
      <c r="C183" t="inlineStr">
        <is>
          <t>Salade Cap Est</t>
        </is>
      </c>
      <c r="D183">
        <f>IFERROR(VLOOKUP(C183,ANALYSE!A:F,6,FALSE),0)</f>
        <v/>
      </c>
      <c r="E183">
        <f>ROUND(PREVISION_SERVICE!D8*D183,1)</f>
        <v/>
      </c>
      <c r="F183" t="inlineStr">
        <is>
          <t>portion</t>
        </is>
      </c>
      <c r="G183" t="inlineStr">
        <is>
          <t>Christelle</t>
        </is>
      </c>
    </row>
    <row r="184">
      <c r="A184">
        <f>PREVISION_SERVICE!A8</f>
        <v/>
      </c>
      <c r="B184">
        <f>PREVISION_SERVICE!C8</f>
        <v/>
      </c>
      <c r="C184" t="inlineStr">
        <is>
          <t>Brochette de boeuf</t>
        </is>
      </c>
      <c r="D184">
        <f>IFERROR(VLOOKUP(C184,ANALYSE!A:F,6,FALSE),0)</f>
        <v/>
      </c>
      <c r="E184">
        <f>ROUND(PREVISION_SERVICE!D8*D184,1)</f>
        <v/>
      </c>
      <c r="F184" t="inlineStr">
        <is>
          <t>portion</t>
        </is>
      </c>
      <c r="G184" t="inlineStr">
        <is>
          <t>Ludovic</t>
        </is>
      </c>
    </row>
    <row r="185">
      <c r="A185">
        <f>PREVISION_SERVICE!A8</f>
        <v/>
      </c>
      <c r="B185">
        <f>PREVISION_SERVICE!C8</f>
        <v/>
      </c>
      <c r="C185" t="inlineStr">
        <is>
          <t>Brochette de crevettes</t>
        </is>
      </c>
      <c r="D185">
        <f>IFERROR(VLOOKUP(C185,ANALYSE!A:F,6,FALSE),0)</f>
        <v/>
      </c>
      <c r="E185">
        <f>ROUND(PREVISION_SERVICE!D8*D185,1)</f>
        <v/>
      </c>
      <c r="F185" t="inlineStr">
        <is>
          <t>portion</t>
        </is>
      </c>
      <c r="G185" t="inlineStr">
        <is>
          <t>Ludovic</t>
        </is>
      </c>
    </row>
    <row r="186">
      <c r="A186">
        <f>PREVISION_SERVICE!A8</f>
        <v/>
      </c>
      <c r="B186">
        <f>PREVISION_SERVICE!C8</f>
        <v/>
      </c>
      <c r="C186" t="inlineStr">
        <is>
          <t>Brochette de poisson</t>
        </is>
      </c>
      <c r="D186">
        <f>IFERROR(VLOOKUP(C186,ANALYSE!A:F,6,FALSE),0)</f>
        <v/>
      </c>
      <c r="E186">
        <f>ROUND(PREVISION_SERVICE!D8*D186,1)</f>
        <v/>
      </c>
      <c r="F186" t="inlineStr">
        <is>
          <t>portion</t>
        </is>
      </c>
      <c r="G186" t="inlineStr">
        <is>
          <t>Ludovic</t>
        </is>
      </c>
    </row>
    <row r="187">
      <c r="A187">
        <f>PREVISION_SERVICE!A8</f>
        <v/>
      </c>
      <c r="B187">
        <f>PREVISION_SERVICE!C8</f>
        <v/>
      </c>
      <c r="C187" t="inlineStr">
        <is>
          <t>Brochette de poulet</t>
        </is>
      </c>
      <c r="D187">
        <f>IFERROR(VLOOKUP(C187,ANALYSE!A:F,6,FALSE),0)</f>
        <v/>
      </c>
      <c r="E187">
        <f>ROUND(PREVISION_SERVICE!D8*D187,1)</f>
        <v/>
      </c>
      <c r="F187" t="inlineStr">
        <is>
          <t>portion</t>
        </is>
      </c>
      <c r="G187" t="inlineStr">
        <is>
          <t>Ludovic</t>
        </is>
      </c>
    </row>
    <row r="188">
      <c r="A188">
        <f>PREVISION_SERVICE!A8</f>
        <v/>
      </c>
      <c r="B188">
        <f>PREVISION_SERVICE!C8</f>
        <v/>
      </c>
      <c r="C188" t="inlineStr">
        <is>
          <t>Brochette de légumes</t>
        </is>
      </c>
      <c r="D188">
        <f>IFERROR(VLOOKUP(C188,ANALYSE!A:F,6,FALSE),0)</f>
        <v/>
      </c>
      <c r="E188">
        <f>ROUND(PREVISION_SERVICE!D8*D188,1)</f>
        <v/>
      </c>
      <c r="F188" t="inlineStr">
        <is>
          <t>portion</t>
        </is>
      </c>
      <c r="G188" t="inlineStr">
        <is>
          <t>Ludovic</t>
        </is>
      </c>
    </row>
    <row r="189">
      <c r="A189">
        <f>PREVISION_SERVICE!A8</f>
        <v/>
      </c>
      <c r="B189">
        <f>PREVISION_SERVICE!C8</f>
        <v/>
      </c>
      <c r="C189" t="inlineStr">
        <is>
          <t>Entrecôte</t>
        </is>
      </c>
      <c r="D189">
        <f>IFERROR(VLOOKUP(C189,ANALYSE!A:F,6,FALSE),0)</f>
        <v/>
      </c>
      <c r="E189">
        <f>ROUND(PREVISION_SERVICE!D8*D189,1)</f>
        <v/>
      </c>
      <c r="F189" t="inlineStr">
        <is>
          <t>portion</t>
        </is>
      </c>
      <c r="G189" t="inlineStr">
        <is>
          <t>Ludovic</t>
        </is>
      </c>
    </row>
    <row r="190">
      <c r="A190">
        <f>PREVISION_SERVICE!A8</f>
        <v/>
      </c>
      <c r="B190">
        <f>PREVISION_SERVICE!C8</f>
        <v/>
      </c>
      <c r="C190" t="inlineStr">
        <is>
          <t>Pièce du boucher</t>
        </is>
      </c>
      <c r="D190">
        <f>IFERROR(VLOOKUP(C190,ANALYSE!A:F,6,FALSE),0)</f>
        <v/>
      </c>
      <c r="E190">
        <f>ROUND(PREVISION_SERVICE!D8*D190,1)</f>
        <v/>
      </c>
      <c r="F190" t="inlineStr">
        <is>
          <t>portion</t>
        </is>
      </c>
      <c r="G190" t="inlineStr">
        <is>
          <t>Ludovic</t>
        </is>
      </c>
    </row>
    <row r="191">
      <c r="A191">
        <f>PREVISION_SERVICE!A8</f>
        <v/>
      </c>
      <c r="B191">
        <f>PREVISION_SERVICE!C8</f>
        <v/>
      </c>
      <c r="C191" t="inlineStr">
        <is>
          <t>Magret de canard</t>
        </is>
      </c>
      <c r="D191">
        <f>IFERROR(VLOOKUP(C191,ANALYSE!A:F,6,FALSE),0)</f>
        <v/>
      </c>
      <c r="E191">
        <f>ROUND(PREVISION_SERVICE!D8*D191,1)</f>
        <v/>
      </c>
      <c r="F191" t="inlineStr">
        <is>
          <t>portion</t>
        </is>
      </c>
      <c r="G191" t="inlineStr">
        <is>
          <t>Ludovic</t>
        </is>
      </c>
    </row>
    <row r="192">
      <c r="A192">
        <f>PREVISION_SERVICE!A8</f>
        <v/>
      </c>
      <c r="B192">
        <f>PREVISION_SERVICE!C8</f>
        <v/>
      </c>
      <c r="C192" t="inlineStr">
        <is>
          <t>Côte de boeuf</t>
        </is>
      </c>
      <c r="D192">
        <f>IFERROR(VLOOKUP(C192,ANALYSE!A:F,6,FALSE),0)</f>
        <v/>
      </c>
      <c r="E192">
        <f>ROUND(PREVISION_SERVICE!D8*D192,1)</f>
        <v/>
      </c>
      <c r="F192" t="inlineStr">
        <is>
          <t>portion</t>
        </is>
      </c>
      <c r="G192" t="inlineStr">
        <is>
          <t>Ludovic</t>
        </is>
      </c>
    </row>
    <row r="193">
      <c r="A193">
        <f>PREVISION_SERVICE!A8</f>
        <v/>
      </c>
      <c r="B193">
        <f>PREVISION_SERVICE!C8</f>
        <v/>
      </c>
      <c r="C193" t="inlineStr">
        <is>
          <t>Filet de poisson frais</t>
        </is>
      </c>
      <c r="D193">
        <f>IFERROR(VLOOKUP(C193,ANALYSE!A:F,6,FALSE),0)</f>
        <v/>
      </c>
      <c r="E193">
        <f>ROUND(PREVISION_SERVICE!D8*D193,1)</f>
        <v/>
      </c>
      <c r="F193" t="inlineStr">
        <is>
          <t>portion</t>
        </is>
      </c>
      <c r="G193" t="inlineStr">
        <is>
          <t>Ludovic</t>
        </is>
      </c>
    </row>
    <row r="194">
      <c r="A194">
        <f>PREVISION_SERVICE!A8</f>
        <v/>
      </c>
      <c r="B194">
        <f>PREVISION_SERVICE!C8</f>
        <v/>
      </c>
      <c r="C194" t="inlineStr">
        <is>
          <t>Tartare de poisson</t>
        </is>
      </c>
      <c r="D194">
        <f>IFERROR(VLOOKUP(C194,ANALYSE!A:F,6,FALSE),0)</f>
        <v/>
      </c>
      <c r="E194">
        <f>ROUND(PREVISION_SERVICE!D8*D194,1)</f>
        <v/>
      </c>
      <c r="F194" t="inlineStr">
        <is>
          <t>portion</t>
        </is>
      </c>
      <c r="G194" t="inlineStr">
        <is>
          <t>Ludovic</t>
        </is>
      </c>
    </row>
    <row r="195">
      <c r="A195">
        <f>PREVISION_SERVICE!A8</f>
        <v/>
      </c>
      <c r="B195">
        <f>PREVISION_SERVICE!C8</f>
        <v/>
      </c>
      <c r="C195" t="inlineStr">
        <is>
          <t>Frites maison</t>
        </is>
      </c>
      <c r="D195">
        <f>IFERROR(VLOOKUP(C195,ANALYSE!A:F,6,FALSE),0)</f>
        <v/>
      </c>
      <c r="E195">
        <f>ROUND(PREVISION_SERVICE!D8*D195,1)</f>
        <v/>
      </c>
      <c r="F195" t="inlineStr">
        <is>
          <t>portion</t>
        </is>
      </c>
      <c r="G195" t="inlineStr">
        <is>
          <t>Ludovic</t>
        </is>
      </c>
    </row>
    <row r="196">
      <c r="A196">
        <f>PREVISION_SERVICE!A8</f>
        <v/>
      </c>
      <c r="B196">
        <f>PREVISION_SERVICE!C8</f>
        <v/>
      </c>
      <c r="C196" t="inlineStr">
        <is>
          <t>Salade</t>
        </is>
      </c>
      <c r="D196">
        <f>IFERROR(VLOOKUP(C196,ANALYSE!A:F,6,FALSE),0)</f>
        <v/>
      </c>
      <c r="E196">
        <f>ROUND(PREVISION_SERVICE!D8*D196,1)</f>
        <v/>
      </c>
      <c r="F196" t="inlineStr">
        <is>
          <t>portion</t>
        </is>
      </c>
      <c r="G196" t="inlineStr">
        <is>
          <t>Christelle</t>
        </is>
      </c>
    </row>
    <row r="197">
      <c r="A197">
        <f>PREVISION_SERVICE!A8</f>
        <v/>
      </c>
      <c r="B197">
        <f>PREVISION_SERVICE!C8</f>
        <v/>
      </c>
      <c r="C197" t="inlineStr">
        <is>
          <t>Légumes variés</t>
        </is>
      </c>
      <c r="D197">
        <f>IFERROR(VLOOKUP(C197,ANALYSE!A:F,6,FALSE),0)</f>
        <v/>
      </c>
      <c r="E197">
        <f>ROUND(PREVISION_SERVICE!D8*D197,1)</f>
        <v/>
      </c>
      <c r="F197" t="inlineStr">
        <is>
          <t>portion</t>
        </is>
      </c>
      <c r="G197" t="inlineStr">
        <is>
          <t>Christelle</t>
        </is>
      </c>
    </row>
    <row r="198">
      <c r="A198">
        <f>PREVISION_SERVICE!A8</f>
        <v/>
      </c>
      <c r="B198">
        <f>PREVISION_SERVICE!C8</f>
        <v/>
      </c>
      <c r="C198" t="inlineStr">
        <is>
          <t>Gratin</t>
        </is>
      </c>
      <c r="D198">
        <f>IFERROR(VLOOKUP(C198,ANALYSE!A:F,6,FALSE),0)</f>
        <v/>
      </c>
      <c r="E198">
        <f>ROUND(PREVISION_SERVICE!D8*D198,1)</f>
        <v/>
      </c>
      <c r="F198" t="inlineStr">
        <is>
          <t>portion</t>
        </is>
      </c>
      <c r="G198" t="inlineStr">
        <is>
          <t>Christelle</t>
        </is>
      </c>
    </row>
    <row r="199">
      <c r="A199">
        <f>PREVISION_SERVICE!A8</f>
        <v/>
      </c>
      <c r="B199">
        <f>PREVISION_SERVICE!C8</f>
        <v/>
      </c>
      <c r="C199" t="inlineStr">
        <is>
          <t>Fondant chocolat</t>
        </is>
      </c>
      <c r="D199">
        <f>IFERROR(VLOOKUP(C199,ANALYSE!A:F,6,FALSE),0)</f>
        <v/>
      </c>
      <c r="E199">
        <f>ROUND(PREVISION_SERVICE!D8*D199,1)</f>
        <v/>
      </c>
      <c r="F199" t="inlineStr">
        <is>
          <t>portion</t>
        </is>
      </c>
      <c r="G199" t="inlineStr">
        <is>
          <t>Christelle</t>
        </is>
      </c>
    </row>
    <row r="200">
      <c r="A200">
        <f>PREVISION_SERVICE!A8</f>
        <v/>
      </c>
      <c r="B200">
        <f>PREVISION_SERVICE!C8</f>
        <v/>
      </c>
      <c r="C200" t="inlineStr">
        <is>
          <t>Tartelettes</t>
        </is>
      </c>
      <c r="D200">
        <f>IFERROR(VLOOKUP(C200,ANALYSE!A:F,6,FALSE),0)</f>
        <v/>
      </c>
      <c r="E200">
        <f>ROUND(PREVISION_SERVICE!D8*D200,1)</f>
        <v/>
      </c>
      <c r="F200" t="inlineStr">
        <is>
          <t>portion</t>
        </is>
      </c>
      <c r="G200" t="inlineStr">
        <is>
          <t>Christelle</t>
        </is>
      </c>
    </row>
    <row r="201">
      <c r="A201">
        <f>PREVISION_SERVICE!A8</f>
        <v/>
      </c>
      <c r="B201">
        <f>PREVISION_SERVICE!C8</f>
        <v/>
      </c>
      <c r="C201" t="inlineStr">
        <is>
          <t>Profiteroles</t>
        </is>
      </c>
      <c r="D201">
        <f>IFERROR(VLOOKUP(C201,ANALYSE!A:F,6,FALSE),0)</f>
        <v/>
      </c>
      <c r="E201">
        <f>ROUND(PREVISION_SERVICE!D8*D201,1)</f>
        <v/>
      </c>
      <c r="F201" t="inlineStr">
        <is>
          <t>portion</t>
        </is>
      </c>
      <c r="G201" t="inlineStr">
        <is>
          <t>Christelle</t>
        </is>
      </c>
    </row>
    <row r="202">
      <c r="A202">
        <f>PREVISION_SERVICE!A8</f>
        <v/>
      </c>
      <c r="B202">
        <f>PREVISION_SERVICE!C8</f>
        <v/>
      </c>
      <c r="C202" t="inlineStr">
        <is>
          <t>Gaufres</t>
        </is>
      </c>
      <c r="D202">
        <f>IFERROR(VLOOKUP(C202,ANALYSE!A:F,6,FALSE),0)</f>
        <v/>
      </c>
      <c r="E202">
        <f>ROUND(PREVISION_SERVICE!D8*D202,1)</f>
        <v/>
      </c>
      <c r="F202" t="inlineStr">
        <is>
          <t>portion</t>
        </is>
      </c>
      <c r="G202" t="inlineStr">
        <is>
          <t>Christelle</t>
        </is>
      </c>
    </row>
    <row r="203">
      <c r="A203">
        <f>PREVISION_SERVICE!A8</f>
        <v/>
      </c>
      <c r="B203">
        <f>PREVISION_SERVICE!C8</f>
        <v/>
      </c>
      <c r="C203" t="inlineStr">
        <is>
          <t>Compotée</t>
        </is>
      </c>
      <c r="D203">
        <f>IFERROR(VLOOKUP(C203,ANALYSE!A:F,6,FALSE),0)</f>
        <v/>
      </c>
      <c r="E203">
        <f>ROUND(PREVISION_SERVICE!D8*D203,1)</f>
        <v/>
      </c>
      <c r="F203" t="inlineStr">
        <is>
          <t>portion</t>
        </is>
      </c>
      <c r="G203" t="inlineStr">
        <is>
          <t>Christelle</t>
        </is>
      </c>
    </row>
    <row r="204">
      <c r="A204">
        <f>PREVISION_SERVICE!A8</f>
        <v/>
      </c>
      <c r="B204">
        <f>PREVISION_SERVICE!C8</f>
        <v/>
      </c>
      <c r="C204" t="inlineStr">
        <is>
          <t>Boule de glace</t>
        </is>
      </c>
      <c r="D204">
        <f>IFERROR(VLOOKUP(C204,ANALYSE!A:F,6,FALSE),0)</f>
        <v/>
      </c>
      <c r="E204">
        <f>ROUND(PREVISION_SERVICE!D8*D204,1)</f>
        <v/>
      </c>
      <c r="F204" t="inlineStr">
        <is>
          <t>portion</t>
        </is>
      </c>
      <c r="G204" t="inlineStr">
        <is>
          <t>Christelle</t>
        </is>
      </c>
    </row>
    <row r="205">
      <c r="A205">
        <f>PREVISION_SERVICE!A9</f>
        <v/>
      </c>
      <c r="B205">
        <f>PREVISION_SERVICE!C9</f>
        <v/>
      </c>
      <c r="C205" t="inlineStr">
        <is>
          <t>Accras</t>
        </is>
      </c>
      <c r="D205">
        <f>IFERROR(VLOOKUP(C205,ANALYSE!A:F,6,FALSE),0)</f>
        <v/>
      </c>
      <c r="E205">
        <f>ROUND(PREVISION_SERVICE!D9*D205,1)</f>
        <v/>
      </c>
      <c r="F205" t="inlineStr">
        <is>
          <t>portion</t>
        </is>
      </c>
      <c r="G205" t="inlineStr">
        <is>
          <t>Christelle</t>
        </is>
      </c>
    </row>
    <row r="206">
      <c r="A206">
        <f>PREVISION_SERVICE!A9</f>
        <v/>
      </c>
      <c r="B206">
        <f>PREVISION_SERVICE!C9</f>
        <v/>
      </c>
      <c r="C206" t="inlineStr">
        <is>
          <t>Nems</t>
        </is>
      </c>
      <c r="D206">
        <f>IFERROR(VLOOKUP(C206,ANALYSE!A:F,6,FALSE),0)</f>
        <v/>
      </c>
      <c r="E206">
        <f>ROUND(PREVISION_SERVICE!D9*D206,1)</f>
        <v/>
      </c>
      <c r="F206" t="inlineStr">
        <is>
          <t>portion</t>
        </is>
      </c>
      <c r="G206" t="inlineStr">
        <is>
          <t>Christelle</t>
        </is>
      </c>
    </row>
    <row r="207">
      <c r="A207">
        <f>PREVISION_SERVICE!A9</f>
        <v/>
      </c>
      <c r="B207">
        <f>PREVISION_SERVICE!C9</f>
        <v/>
      </c>
      <c r="C207" t="inlineStr">
        <is>
          <t>Samoussas</t>
        </is>
      </c>
      <c r="D207">
        <f>IFERROR(VLOOKUP(C207,ANALYSE!A:F,6,FALSE),0)</f>
        <v/>
      </c>
      <c r="E207">
        <f>ROUND(PREVISION_SERVICE!D9*D207,1)</f>
        <v/>
      </c>
      <c r="F207" t="inlineStr">
        <is>
          <t>portion</t>
        </is>
      </c>
      <c r="G207" t="inlineStr">
        <is>
          <t>Christelle</t>
        </is>
      </c>
    </row>
    <row r="208">
      <c r="A208">
        <f>PREVISION_SERVICE!A9</f>
        <v/>
      </c>
      <c r="B208">
        <f>PREVISION_SERVICE!C9</f>
        <v/>
      </c>
      <c r="C208" t="inlineStr">
        <is>
          <t>Crevettes tempura</t>
        </is>
      </c>
      <c r="D208">
        <f>IFERROR(VLOOKUP(C208,ANALYSE!A:F,6,FALSE),0)</f>
        <v/>
      </c>
      <c r="E208">
        <f>ROUND(PREVISION_SERVICE!D9*D208,1)</f>
        <v/>
      </c>
      <c r="F208" t="inlineStr">
        <is>
          <t>portion</t>
        </is>
      </c>
      <c r="G208" t="inlineStr">
        <is>
          <t>Christelle</t>
        </is>
      </c>
    </row>
    <row r="209">
      <c r="A209">
        <f>PREVISION_SERVICE!A9</f>
        <v/>
      </c>
      <c r="B209">
        <f>PREVISION_SERVICE!C9</f>
        <v/>
      </c>
      <c r="C209" t="inlineStr">
        <is>
          <t>Pisquettes</t>
        </is>
      </c>
      <c r="D209">
        <f>IFERROR(VLOOKUP(C209,ANALYSE!A:F,6,FALSE),0)</f>
        <v/>
      </c>
      <c r="E209">
        <f>ROUND(PREVISION_SERVICE!D9*D209,1)</f>
        <v/>
      </c>
      <c r="F209" t="inlineStr">
        <is>
          <t>portion</t>
        </is>
      </c>
      <c r="G209" t="inlineStr">
        <is>
          <t>Christelle</t>
        </is>
      </c>
    </row>
    <row r="210">
      <c r="A210">
        <f>PREVISION_SERVICE!A9</f>
        <v/>
      </c>
      <c r="B210">
        <f>PREVISION_SERVICE!C9</f>
        <v/>
      </c>
      <c r="C210" t="inlineStr">
        <is>
          <t>Tapas trio</t>
        </is>
      </c>
      <c r="D210">
        <f>IFERROR(VLOOKUP(C210,ANALYSE!A:F,6,FALSE),0)</f>
        <v/>
      </c>
      <c r="E210">
        <f>ROUND(PREVISION_SERVICE!D9*D210,1)</f>
        <v/>
      </c>
      <c r="F210" t="inlineStr">
        <is>
          <t>portion</t>
        </is>
      </c>
      <c r="G210" t="inlineStr">
        <is>
          <t>Christelle</t>
        </is>
      </c>
    </row>
    <row r="211">
      <c r="A211">
        <f>PREVISION_SERVICE!A9</f>
        <v/>
      </c>
      <c r="B211">
        <f>PREVISION_SERVICE!C9</f>
        <v/>
      </c>
      <c r="C211" t="inlineStr">
        <is>
          <t>Assiette créole</t>
        </is>
      </c>
      <c r="D211">
        <f>IFERROR(VLOOKUP(C211,ANALYSE!A:F,6,FALSE),0)</f>
        <v/>
      </c>
      <c r="E211">
        <f>ROUND(PREVISION_SERVICE!D9*D211,1)</f>
        <v/>
      </c>
      <c r="F211" t="inlineStr">
        <is>
          <t>portion</t>
        </is>
      </c>
      <c r="G211" t="inlineStr">
        <is>
          <t>Christelle</t>
        </is>
      </c>
    </row>
    <row r="212">
      <c r="A212">
        <f>PREVISION_SERVICE!A9</f>
        <v/>
      </c>
      <c r="B212">
        <f>PREVISION_SERVICE!C9</f>
        <v/>
      </c>
      <c r="C212" t="inlineStr">
        <is>
          <t>Salade Cap Est</t>
        </is>
      </c>
      <c r="D212">
        <f>IFERROR(VLOOKUP(C212,ANALYSE!A:F,6,FALSE),0)</f>
        <v/>
      </c>
      <c r="E212">
        <f>ROUND(PREVISION_SERVICE!D9*D212,1)</f>
        <v/>
      </c>
      <c r="F212" t="inlineStr">
        <is>
          <t>portion</t>
        </is>
      </c>
      <c r="G212" t="inlineStr">
        <is>
          <t>Christelle</t>
        </is>
      </c>
    </row>
    <row r="213">
      <c r="A213">
        <f>PREVISION_SERVICE!A9</f>
        <v/>
      </c>
      <c r="B213">
        <f>PREVISION_SERVICE!C9</f>
        <v/>
      </c>
      <c r="C213" t="inlineStr">
        <is>
          <t>Brochette de boeuf</t>
        </is>
      </c>
      <c r="D213">
        <f>IFERROR(VLOOKUP(C213,ANALYSE!A:F,6,FALSE),0)</f>
        <v/>
      </c>
      <c r="E213">
        <f>ROUND(PREVISION_SERVICE!D9*D213,1)</f>
        <v/>
      </c>
      <c r="F213" t="inlineStr">
        <is>
          <t>portion</t>
        </is>
      </c>
      <c r="G213" t="inlineStr">
        <is>
          <t>Ludovic</t>
        </is>
      </c>
    </row>
    <row r="214">
      <c r="A214">
        <f>PREVISION_SERVICE!A9</f>
        <v/>
      </c>
      <c r="B214">
        <f>PREVISION_SERVICE!C9</f>
        <v/>
      </c>
      <c r="C214" t="inlineStr">
        <is>
          <t>Brochette de crevettes</t>
        </is>
      </c>
      <c r="D214">
        <f>IFERROR(VLOOKUP(C214,ANALYSE!A:F,6,FALSE),0)</f>
        <v/>
      </c>
      <c r="E214">
        <f>ROUND(PREVISION_SERVICE!D9*D214,1)</f>
        <v/>
      </c>
      <c r="F214" t="inlineStr">
        <is>
          <t>portion</t>
        </is>
      </c>
      <c r="G214" t="inlineStr">
        <is>
          <t>Ludovic</t>
        </is>
      </c>
    </row>
    <row r="215">
      <c r="A215">
        <f>PREVISION_SERVICE!A9</f>
        <v/>
      </c>
      <c r="B215">
        <f>PREVISION_SERVICE!C9</f>
        <v/>
      </c>
      <c r="C215" t="inlineStr">
        <is>
          <t>Brochette de poisson</t>
        </is>
      </c>
      <c r="D215">
        <f>IFERROR(VLOOKUP(C215,ANALYSE!A:F,6,FALSE),0)</f>
        <v/>
      </c>
      <c r="E215">
        <f>ROUND(PREVISION_SERVICE!D9*D215,1)</f>
        <v/>
      </c>
      <c r="F215" t="inlineStr">
        <is>
          <t>portion</t>
        </is>
      </c>
      <c r="G215" t="inlineStr">
        <is>
          <t>Ludovic</t>
        </is>
      </c>
    </row>
    <row r="216">
      <c r="A216">
        <f>PREVISION_SERVICE!A9</f>
        <v/>
      </c>
      <c r="B216">
        <f>PREVISION_SERVICE!C9</f>
        <v/>
      </c>
      <c r="C216" t="inlineStr">
        <is>
          <t>Brochette de poulet</t>
        </is>
      </c>
      <c r="D216">
        <f>IFERROR(VLOOKUP(C216,ANALYSE!A:F,6,FALSE),0)</f>
        <v/>
      </c>
      <c r="E216">
        <f>ROUND(PREVISION_SERVICE!D9*D216,1)</f>
        <v/>
      </c>
      <c r="F216" t="inlineStr">
        <is>
          <t>portion</t>
        </is>
      </c>
      <c r="G216" t="inlineStr">
        <is>
          <t>Ludovic</t>
        </is>
      </c>
    </row>
    <row r="217">
      <c r="A217">
        <f>PREVISION_SERVICE!A9</f>
        <v/>
      </c>
      <c r="B217">
        <f>PREVISION_SERVICE!C9</f>
        <v/>
      </c>
      <c r="C217" t="inlineStr">
        <is>
          <t>Brochette de légumes</t>
        </is>
      </c>
      <c r="D217">
        <f>IFERROR(VLOOKUP(C217,ANALYSE!A:F,6,FALSE),0)</f>
        <v/>
      </c>
      <c r="E217">
        <f>ROUND(PREVISION_SERVICE!D9*D217,1)</f>
        <v/>
      </c>
      <c r="F217" t="inlineStr">
        <is>
          <t>portion</t>
        </is>
      </c>
      <c r="G217" t="inlineStr">
        <is>
          <t>Ludovic</t>
        </is>
      </c>
    </row>
    <row r="218">
      <c r="A218">
        <f>PREVISION_SERVICE!A9</f>
        <v/>
      </c>
      <c r="B218">
        <f>PREVISION_SERVICE!C9</f>
        <v/>
      </c>
      <c r="C218" t="inlineStr">
        <is>
          <t>Entrecôte</t>
        </is>
      </c>
      <c r="D218">
        <f>IFERROR(VLOOKUP(C218,ANALYSE!A:F,6,FALSE),0)</f>
        <v/>
      </c>
      <c r="E218">
        <f>ROUND(PREVISION_SERVICE!D9*D218,1)</f>
        <v/>
      </c>
      <c r="F218" t="inlineStr">
        <is>
          <t>portion</t>
        </is>
      </c>
      <c r="G218" t="inlineStr">
        <is>
          <t>Ludovic</t>
        </is>
      </c>
    </row>
    <row r="219">
      <c r="A219">
        <f>PREVISION_SERVICE!A9</f>
        <v/>
      </c>
      <c r="B219">
        <f>PREVISION_SERVICE!C9</f>
        <v/>
      </c>
      <c r="C219" t="inlineStr">
        <is>
          <t>Pièce du boucher</t>
        </is>
      </c>
      <c r="D219">
        <f>IFERROR(VLOOKUP(C219,ANALYSE!A:F,6,FALSE),0)</f>
        <v/>
      </c>
      <c r="E219">
        <f>ROUND(PREVISION_SERVICE!D9*D219,1)</f>
        <v/>
      </c>
      <c r="F219" t="inlineStr">
        <is>
          <t>portion</t>
        </is>
      </c>
      <c r="G219" t="inlineStr">
        <is>
          <t>Ludovic</t>
        </is>
      </c>
    </row>
    <row r="220">
      <c r="A220">
        <f>PREVISION_SERVICE!A9</f>
        <v/>
      </c>
      <c r="B220">
        <f>PREVISION_SERVICE!C9</f>
        <v/>
      </c>
      <c r="C220" t="inlineStr">
        <is>
          <t>Magret de canard</t>
        </is>
      </c>
      <c r="D220">
        <f>IFERROR(VLOOKUP(C220,ANALYSE!A:F,6,FALSE),0)</f>
        <v/>
      </c>
      <c r="E220">
        <f>ROUND(PREVISION_SERVICE!D9*D220,1)</f>
        <v/>
      </c>
      <c r="F220" t="inlineStr">
        <is>
          <t>portion</t>
        </is>
      </c>
      <c r="G220" t="inlineStr">
        <is>
          <t>Ludovic</t>
        </is>
      </c>
    </row>
    <row r="221">
      <c r="A221">
        <f>PREVISION_SERVICE!A9</f>
        <v/>
      </c>
      <c r="B221">
        <f>PREVISION_SERVICE!C9</f>
        <v/>
      </c>
      <c r="C221" t="inlineStr">
        <is>
          <t>Côte de boeuf</t>
        </is>
      </c>
      <c r="D221">
        <f>IFERROR(VLOOKUP(C221,ANALYSE!A:F,6,FALSE),0)</f>
        <v/>
      </c>
      <c r="E221">
        <f>ROUND(PREVISION_SERVICE!D9*D221,1)</f>
        <v/>
      </c>
      <c r="F221" t="inlineStr">
        <is>
          <t>portion</t>
        </is>
      </c>
      <c r="G221" t="inlineStr">
        <is>
          <t>Ludovic</t>
        </is>
      </c>
    </row>
    <row r="222">
      <c r="A222">
        <f>PREVISION_SERVICE!A9</f>
        <v/>
      </c>
      <c r="B222">
        <f>PREVISION_SERVICE!C9</f>
        <v/>
      </c>
      <c r="C222" t="inlineStr">
        <is>
          <t>Filet de poisson frais</t>
        </is>
      </c>
      <c r="D222">
        <f>IFERROR(VLOOKUP(C222,ANALYSE!A:F,6,FALSE),0)</f>
        <v/>
      </c>
      <c r="E222">
        <f>ROUND(PREVISION_SERVICE!D9*D222,1)</f>
        <v/>
      </c>
      <c r="F222" t="inlineStr">
        <is>
          <t>portion</t>
        </is>
      </c>
      <c r="G222" t="inlineStr">
        <is>
          <t>Ludovic</t>
        </is>
      </c>
    </row>
    <row r="223">
      <c r="A223">
        <f>PREVISION_SERVICE!A9</f>
        <v/>
      </c>
      <c r="B223">
        <f>PREVISION_SERVICE!C9</f>
        <v/>
      </c>
      <c r="C223" t="inlineStr">
        <is>
          <t>Tartare de poisson</t>
        </is>
      </c>
      <c r="D223">
        <f>IFERROR(VLOOKUP(C223,ANALYSE!A:F,6,FALSE),0)</f>
        <v/>
      </c>
      <c r="E223">
        <f>ROUND(PREVISION_SERVICE!D9*D223,1)</f>
        <v/>
      </c>
      <c r="F223" t="inlineStr">
        <is>
          <t>portion</t>
        </is>
      </c>
      <c r="G223" t="inlineStr">
        <is>
          <t>Ludovic</t>
        </is>
      </c>
    </row>
    <row r="224">
      <c r="A224">
        <f>PREVISION_SERVICE!A9</f>
        <v/>
      </c>
      <c r="B224">
        <f>PREVISION_SERVICE!C9</f>
        <v/>
      </c>
      <c r="C224" t="inlineStr">
        <is>
          <t>Frites maison</t>
        </is>
      </c>
      <c r="D224">
        <f>IFERROR(VLOOKUP(C224,ANALYSE!A:F,6,FALSE),0)</f>
        <v/>
      </c>
      <c r="E224">
        <f>ROUND(PREVISION_SERVICE!D9*D224,1)</f>
        <v/>
      </c>
      <c r="F224" t="inlineStr">
        <is>
          <t>portion</t>
        </is>
      </c>
      <c r="G224" t="inlineStr">
        <is>
          <t>Ludovic</t>
        </is>
      </c>
    </row>
    <row r="225">
      <c r="A225">
        <f>PREVISION_SERVICE!A9</f>
        <v/>
      </c>
      <c r="B225">
        <f>PREVISION_SERVICE!C9</f>
        <v/>
      </c>
      <c r="C225" t="inlineStr">
        <is>
          <t>Salade</t>
        </is>
      </c>
      <c r="D225">
        <f>IFERROR(VLOOKUP(C225,ANALYSE!A:F,6,FALSE),0)</f>
        <v/>
      </c>
      <c r="E225">
        <f>ROUND(PREVISION_SERVICE!D9*D225,1)</f>
        <v/>
      </c>
      <c r="F225" t="inlineStr">
        <is>
          <t>portion</t>
        </is>
      </c>
      <c r="G225" t="inlineStr">
        <is>
          <t>Christelle</t>
        </is>
      </c>
    </row>
    <row r="226">
      <c r="A226">
        <f>PREVISION_SERVICE!A9</f>
        <v/>
      </c>
      <c r="B226">
        <f>PREVISION_SERVICE!C9</f>
        <v/>
      </c>
      <c r="C226" t="inlineStr">
        <is>
          <t>Légumes variés</t>
        </is>
      </c>
      <c r="D226">
        <f>IFERROR(VLOOKUP(C226,ANALYSE!A:F,6,FALSE),0)</f>
        <v/>
      </c>
      <c r="E226">
        <f>ROUND(PREVISION_SERVICE!D9*D226,1)</f>
        <v/>
      </c>
      <c r="F226" t="inlineStr">
        <is>
          <t>portion</t>
        </is>
      </c>
      <c r="G226" t="inlineStr">
        <is>
          <t>Christelle</t>
        </is>
      </c>
    </row>
    <row r="227">
      <c r="A227">
        <f>PREVISION_SERVICE!A9</f>
        <v/>
      </c>
      <c r="B227">
        <f>PREVISION_SERVICE!C9</f>
        <v/>
      </c>
      <c r="C227" t="inlineStr">
        <is>
          <t>Gratin</t>
        </is>
      </c>
      <c r="D227">
        <f>IFERROR(VLOOKUP(C227,ANALYSE!A:F,6,FALSE),0)</f>
        <v/>
      </c>
      <c r="E227">
        <f>ROUND(PREVISION_SERVICE!D9*D227,1)</f>
        <v/>
      </c>
      <c r="F227" t="inlineStr">
        <is>
          <t>portion</t>
        </is>
      </c>
      <c r="G227" t="inlineStr">
        <is>
          <t>Christelle</t>
        </is>
      </c>
    </row>
    <row r="228">
      <c r="A228">
        <f>PREVISION_SERVICE!A9</f>
        <v/>
      </c>
      <c r="B228">
        <f>PREVISION_SERVICE!C9</f>
        <v/>
      </c>
      <c r="C228" t="inlineStr">
        <is>
          <t>Fondant chocolat</t>
        </is>
      </c>
      <c r="D228">
        <f>IFERROR(VLOOKUP(C228,ANALYSE!A:F,6,FALSE),0)</f>
        <v/>
      </c>
      <c r="E228">
        <f>ROUND(PREVISION_SERVICE!D9*D228,1)</f>
        <v/>
      </c>
      <c r="F228" t="inlineStr">
        <is>
          <t>portion</t>
        </is>
      </c>
      <c r="G228" t="inlineStr">
        <is>
          <t>Christelle</t>
        </is>
      </c>
    </row>
    <row r="229">
      <c r="A229">
        <f>PREVISION_SERVICE!A9</f>
        <v/>
      </c>
      <c r="B229">
        <f>PREVISION_SERVICE!C9</f>
        <v/>
      </c>
      <c r="C229" t="inlineStr">
        <is>
          <t>Tartelettes</t>
        </is>
      </c>
      <c r="D229">
        <f>IFERROR(VLOOKUP(C229,ANALYSE!A:F,6,FALSE),0)</f>
        <v/>
      </c>
      <c r="E229">
        <f>ROUND(PREVISION_SERVICE!D9*D229,1)</f>
        <v/>
      </c>
      <c r="F229" t="inlineStr">
        <is>
          <t>portion</t>
        </is>
      </c>
      <c r="G229" t="inlineStr">
        <is>
          <t>Christelle</t>
        </is>
      </c>
    </row>
    <row r="230">
      <c r="A230">
        <f>PREVISION_SERVICE!A9</f>
        <v/>
      </c>
      <c r="B230">
        <f>PREVISION_SERVICE!C9</f>
        <v/>
      </c>
      <c r="C230" t="inlineStr">
        <is>
          <t>Profiteroles</t>
        </is>
      </c>
      <c r="D230">
        <f>IFERROR(VLOOKUP(C230,ANALYSE!A:F,6,FALSE),0)</f>
        <v/>
      </c>
      <c r="E230">
        <f>ROUND(PREVISION_SERVICE!D9*D230,1)</f>
        <v/>
      </c>
      <c r="F230" t="inlineStr">
        <is>
          <t>portion</t>
        </is>
      </c>
      <c r="G230" t="inlineStr">
        <is>
          <t>Christelle</t>
        </is>
      </c>
    </row>
    <row r="231">
      <c r="A231">
        <f>PREVISION_SERVICE!A9</f>
        <v/>
      </c>
      <c r="B231">
        <f>PREVISION_SERVICE!C9</f>
        <v/>
      </c>
      <c r="C231" t="inlineStr">
        <is>
          <t>Gaufres</t>
        </is>
      </c>
      <c r="D231">
        <f>IFERROR(VLOOKUP(C231,ANALYSE!A:F,6,FALSE),0)</f>
        <v/>
      </c>
      <c r="E231">
        <f>ROUND(PREVISION_SERVICE!D9*D231,1)</f>
        <v/>
      </c>
      <c r="F231" t="inlineStr">
        <is>
          <t>portion</t>
        </is>
      </c>
      <c r="G231" t="inlineStr">
        <is>
          <t>Christelle</t>
        </is>
      </c>
    </row>
    <row r="232">
      <c r="A232">
        <f>PREVISION_SERVICE!A9</f>
        <v/>
      </c>
      <c r="B232">
        <f>PREVISION_SERVICE!C9</f>
        <v/>
      </c>
      <c r="C232" t="inlineStr">
        <is>
          <t>Compotée</t>
        </is>
      </c>
      <c r="D232">
        <f>IFERROR(VLOOKUP(C232,ANALYSE!A:F,6,FALSE),0)</f>
        <v/>
      </c>
      <c r="E232">
        <f>ROUND(PREVISION_SERVICE!D9*D232,1)</f>
        <v/>
      </c>
      <c r="F232" t="inlineStr">
        <is>
          <t>portion</t>
        </is>
      </c>
      <c r="G232" t="inlineStr">
        <is>
          <t>Christelle</t>
        </is>
      </c>
    </row>
    <row r="233">
      <c r="A233">
        <f>PREVISION_SERVICE!A9</f>
        <v/>
      </c>
      <c r="B233">
        <f>PREVISION_SERVICE!C9</f>
        <v/>
      </c>
      <c r="C233" t="inlineStr">
        <is>
          <t>Boule de glace</t>
        </is>
      </c>
      <c r="D233">
        <f>IFERROR(VLOOKUP(C233,ANALYSE!A:F,6,FALSE),0)</f>
        <v/>
      </c>
      <c r="E233">
        <f>ROUND(PREVISION_SERVICE!D9*D233,1)</f>
        <v/>
      </c>
      <c r="F233" t="inlineStr">
        <is>
          <t>portion</t>
        </is>
      </c>
      <c r="G233" t="inlineStr">
        <is>
          <t>Christelle</t>
        </is>
      </c>
    </row>
    <row r="234">
      <c r="A234">
        <f>PREVISION_SERVICE!A10</f>
        <v/>
      </c>
      <c r="B234">
        <f>PREVISION_SERVICE!C10</f>
        <v/>
      </c>
      <c r="C234" t="inlineStr">
        <is>
          <t>Accras</t>
        </is>
      </c>
      <c r="D234">
        <f>IFERROR(VLOOKUP(C234,ANALYSE!A:F,6,FALSE),0)</f>
        <v/>
      </c>
      <c r="E234">
        <f>ROUND(PREVISION_SERVICE!D10*D234,1)</f>
        <v/>
      </c>
      <c r="F234" t="inlineStr">
        <is>
          <t>portion</t>
        </is>
      </c>
      <c r="G234" t="inlineStr">
        <is>
          <t>Christelle</t>
        </is>
      </c>
    </row>
    <row r="235">
      <c r="A235">
        <f>PREVISION_SERVICE!A10</f>
        <v/>
      </c>
      <c r="B235">
        <f>PREVISION_SERVICE!C10</f>
        <v/>
      </c>
      <c r="C235" t="inlineStr">
        <is>
          <t>Nems</t>
        </is>
      </c>
      <c r="D235">
        <f>IFERROR(VLOOKUP(C235,ANALYSE!A:F,6,FALSE),0)</f>
        <v/>
      </c>
      <c r="E235">
        <f>ROUND(PREVISION_SERVICE!D10*D235,1)</f>
        <v/>
      </c>
      <c r="F235" t="inlineStr">
        <is>
          <t>portion</t>
        </is>
      </c>
      <c r="G235" t="inlineStr">
        <is>
          <t>Christelle</t>
        </is>
      </c>
    </row>
    <row r="236">
      <c r="A236">
        <f>PREVISION_SERVICE!A10</f>
        <v/>
      </c>
      <c r="B236">
        <f>PREVISION_SERVICE!C10</f>
        <v/>
      </c>
      <c r="C236" t="inlineStr">
        <is>
          <t>Samoussas</t>
        </is>
      </c>
      <c r="D236">
        <f>IFERROR(VLOOKUP(C236,ANALYSE!A:F,6,FALSE),0)</f>
        <v/>
      </c>
      <c r="E236">
        <f>ROUND(PREVISION_SERVICE!D10*D236,1)</f>
        <v/>
      </c>
      <c r="F236" t="inlineStr">
        <is>
          <t>portion</t>
        </is>
      </c>
      <c r="G236" t="inlineStr">
        <is>
          <t>Christelle</t>
        </is>
      </c>
    </row>
    <row r="237">
      <c r="A237">
        <f>PREVISION_SERVICE!A10</f>
        <v/>
      </c>
      <c r="B237">
        <f>PREVISION_SERVICE!C10</f>
        <v/>
      </c>
      <c r="C237" t="inlineStr">
        <is>
          <t>Crevettes tempura</t>
        </is>
      </c>
      <c r="D237">
        <f>IFERROR(VLOOKUP(C237,ANALYSE!A:F,6,FALSE),0)</f>
        <v/>
      </c>
      <c r="E237">
        <f>ROUND(PREVISION_SERVICE!D10*D237,1)</f>
        <v/>
      </c>
      <c r="F237" t="inlineStr">
        <is>
          <t>portion</t>
        </is>
      </c>
      <c r="G237" t="inlineStr">
        <is>
          <t>Christelle</t>
        </is>
      </c>
    </row>
    <row r="238">
      <c r="A238">
        <f>PREVISION_SERVICE!A10</f>
        <v/>
      </c>
      <c r="B238">
        <f>PREVISION_SERVICE!C10</f>
        <v/>
      </c>
      <c r="C238" t="inlineStr">
        <is>
          <t>Pisquettes</t>
        </is>
      </c>
      <c r="D238">
        <f>IFERROR(VLOOKUP(C238,ANALYSE!A:F,6,FALSE),0)</f>
        <v/>
      </c>
      <c r="E238">
        <f>ROUND(PREVISION_SERVICE!D10*D238,1)</f>
        <v/>
      </c>
      <c r="F238" t="inlineStr">
        <is>
          <t>portion</t>
        </is>
      </c>
      <c r="G238" t="inlineStr">
        <is>
          <t>Christelle</t>
        </is>
      </c>
    </row>
    <row r="239">
      <c r="A239">
        <f>PREVISION_SERVICE!A10</f>
        <v/>
      </c>
      <c r="B239">
        <f>PREVISION_SERVICE!C10</f>
        <v/>
      </c>
      <c r="C239" t="inlineStr">
        <is>
          <t>Tapas trio</t>
        </is>
      </c>
      <c r="D239">
        <f>IFERROR(VLOOKUP(C239,ANALYSE!A:F,6,FALSE),0)</f>
        <v/>
      </c>
      <c r="E239">
        <f>ROUND(PREVISION_SERVICE!D10*D239,1)</f>
        <v/>
      </c>
      <c r="F239" t="inlineStr">
        <is>
          <t>portion</t>
        </is>
      </c>
      <c r="G239" t="inlineStr">
        <is>
          <t>Christelle</t>
        </is>
      </c>
    </row>
    <row r="240">
      <c r="A240">
        <f>PREVISION_SERVICE!A10</f>
        <v/>
      </c>
      <c r="B240">
        <f>PREVISION_SERVICE!C10</f>
        <v/>
      </c>
      <c r="C240" t="inlineStr">
        <is>
          <t>Assiette créole</t>
        </is>
      </c>
      <c r="D240">
        <f>IFERROR(VLOOKUP(C240,ANALYSE!A:F,6,FALSE),0)</f>
        <v/>
      </c>
      <c r="E240">
        <f>ROUND(PREVISION_SERVICE!D10*D240,1)</f>
        <v/>
      </c>
      <c r="F240" t="inlineStr">
        <is>
          <t>portion</t>
        </is>
      </c>
      <c r="G240" t="inlineStr">
        <is>
          <t>Christelle</t>
        </is>
      </c>
    </row>
    <row r="241">
      <c r="A241">
        <f>PREVISION_SERVICE!A10</f>
        <v/>
      </c>
      <c r="B241">
        <f>PREVISION_SERVICE!C10</f>
        <v/>
      </c>
      <c r="C241" t="inlineStr">
        <is>
          <t>Salade Cap Est</t>
        </is>
      </c>
      <c r="D241">
        <f>IFERROR(VLOOKUP(C241,ANALYSE!A:F,6,FALSE),0)</f>
        <v/>
      </c>
      <c r="E241">
        <f>ROUND(PREVISION_SERVICE!D10*D241,1)</f>
        <v/>
      </c>
      <c r="F241" t="inlineStr">
        <is>
          <t>portion</t>
        </is>
      </c>
      <c r="G241" t="inlineStr">
        <is>
          <t>Christelle</t>
        </is>
      </c>
    </row>
    <row r="242">
      <c r="A242">
        <f>PREVISION_SERVICE!A10</f>
        <v/>
      </c>
      <c r="B242">
        <f>PREVISION_SERVICE!C10</f>
        <v/>
      </c>
      <c r="C242" t="inlineStr">
        <is>
          <t>Brochette de boeuf</t>
        </is>
      </c>
      <c r="D242">
        <f>IFERROR(VLOOKUP(C242,ANALYSE!A:F,6,FALSE),0)</f>
        <v/>
      </c>
      <c r="E242">
        <f>ROUND(PREVISION_SERVICE!D10*D242,1)</f>
        <v/>
      </c>
      <c r="F242" t="inlineStr">
        <is>
          <t>portion</t>
        </is>
      </c>
      <c r="G242" t="inlineStr">
        <is>
          <t>Ludovic</t>
        </is>
      </c>
    </row>
    <row r="243">
      <c r="A243">
        <f>PREVISION_SERVICE!A10</f>
        <v/>
      </c>
      <c r="B243">
        <f>PREVISION_SERVICE!C10</f>
        <v/>
      </c>
      <c r="C243" t="inlineStr">
        <is>
          <t>Brochette de crevettes</t>
        </is>
      </c>
      <c r="D243">
        <f>IFERROR(VLOOKUP(C243,ANALYSE!A:F,6,FALSE),0)</f>
        <v/>
      </c>
      <c r="E243">
        <f>ROUND(PREVISION_SERVICE!D10*D243,1)</f>
        <v/>
      </c>
      <c r="F243" t="inlineStr">
        <is>
          <t>portion</t>
        </is>
      </c>
      <c r="G243" t="inlineStr">
        <is>
          <t>Ludovic</t>
        </is>
      </c>
    </row>
    <row r="244">
      <c r="A244">
        <f>PREVISION_SERVICE!A10</f>
        <v/>
      </c>
      <c r="B244">
        <f>PREVISION_SERVICE!C10</f>
        <v/>
      </c>
      <c r="C244" t="inlineStr">
        <is>
          <t>Brochette de poisson</t>
        </is>
      </c>
      <c r="D244">
        <f>IFERROR(VLOOKUP(C244,ANALYSE!A:F,6,FALSE),0)</f>
        <v/>
      </c>
      <c r="E244">
        <f>ROUND(PREVISION_SERVICE!D10*D244,1)</f>
        <v/>
      </c>
      <c r="F244" t="inlineStr">
        <is>
          <t>portion</t>
        </is>
      </c>
      <c r="G244" t="inlineStr">
        <is>
          <t>Ludovic</t>
        </is>
      </c>
    </row>
    <row r="245">
      <c r="A245">
        <f>PREVISION_SERVICE!A10</f>
        <v/>
      </c>
      <c r="B245">
        <f>PREVISION_SERVICE!C10</f>
        <v/>
      </c>
      <c r="C245" t="inlineStr">
        <is>
          <t>Brochette de poulet</t>
        </is>
      </c>
      <c r="D245">
        <f>IFERROR(VLOOKUP(C245,ANALYSE!A:F,6,FALSE),0)</f>
        <v/>
      </c>
      <c r="E245">
        <f>ROUND(PREVISION_SERVICE!D10*D245,1)</f>
        <v/>
      </c>
      <c r="F245" t="inlineStr">
        <is>
          <t>portion</t>
        </is>
      </c>
      <c r="G245" t="inlineStr">
        <is>
          <t>Ludovic</t>
        </is>
      </c>
    </row>
    <row r="246">
      <c r="A246">
        <f>PREVISION_SERVICE!A10</f>
        <v/>
      </c>
      <c r="B246">
        <f>PREVISION_SERVICE!C10</f>
        <v/>
      </c>
      <c r="C246" t="inlineStr">
        <is>
          <t>Brochette de légumes</t>
        </is>
      </c>
      <c r="D246">
        <f>IFERROR(VLOOKUP(C246,ANALYSE!A:F,6,FALSE),0)</f>
        <v/>
      </c>
      <c r="E246">
        <f>ROUND(PREVISION_SERVICE!D10*D246,1)</f>
        <v/>
      </c>
      <c r="F246" t="inlineStr">
        <is>
          <t>portion</t>
        </is>
      </c>
      <c r="G246" t="inlineStr">
        <is>
          <t>Ludovic</t>
        </is>
      </c>
    </row>
    <row r="247">
      <c r="A247">
        <f>PREVISION_SERVICE!A10</f>
        <v/>
      </c>
      <c r="B247">
        <f>PREVISION_SERVICE!C10</f>
        <v/>
      </c>
      <c r="C247" t="inlineStr">
        <is>
          <t>Entrecôte</t>
        </is>
      </c>
      <c r="D247">
        <f>IFERROR(VLOOKUP(C247,ANALYSE!A:F,6,FALSE),0)</f>
        <v/>
      </c>
      <c r="E247">
        <f>ROUND(PREVISION_SERVICE!D10*D247,1)</f>
        <v/>
      </c>
      <c r="F247" t="inlineStr">
        <is>
          <t>portion</t>
        </is>
      </c>
      <c r="G247" t="inlineStr">
        <is>
          <t>Ludovic</t>
        </is>
      </c>
    </row>
    <row r="248">
      <c r="A248">
        <f>PREVISION_SERVICE!A10</f>
        <v/>
      </c>
      <c r="B248">
        <f>PREVISION_SERVICE!C10</f>
        <v/>
      </c>
      <c r="C248" t="inlineStr">
        <is>
          <t>Pièce du boucher</t>
        </is>
      </c>
      <c r="D248">
        <f>IFERROR(VLOOKUP(C248,ANALYSE!A:F,6,FALSE),0)</f>
        <v/>
      </c>
      <c r="E248">
        <f>ROUND(PREVISION_SERVICE!D10*D248,1)</f>
        <v/>
      </c>
      <c r="F248" t="inlineStr">
        <is>
          <t>portion</t>
        </is>
      </c>
      <c r="G248" t="inlineStr">
        <is>
          <t>Ludovic</t>
        </is>
      </c>
    </row>
    <row r="249">
      <c r="A249">
        <f>PREVISION_SERVICE!A10</f>
        <v/>
      </c>
      <c r="B249">
        <f>PREVISION_SERVICE!C10</f>
        <v/>
      </c>
      <c r="C249" t="inlineStr">
        <is>
          <t>Magret de canard</t>
        </is>
      </c>
      <c r="D249">
        <f>IFERROR(VLOOKUP(C249,ANALYSE!A:F,6,FALSE),0)</f>
        <v/>
      </c>
      <c r="E249">
        <f>ROUND(PREVISION_SERVICE!D10*D249,1)</f>
        <v/>
      </c>
      <c r="F249" t="inlineStr">
        <is>
          <t>portion</t>
        </is>
      </c>
      <c r="G249" t="inlineStr">
        <is>
          <t>Ludovic</t>
        </is>
      </c>
    </row>
    <row r="250">
      <c r="A250">
        <f>PREVISION_SERVICE!A10</f>
        <v/>
      </c>
      <c r="B250">
        <f>PREVISION_SERVICE!C10</f>
        <v/>
      </c>
      <c r="C250" t="inlineStr">
        <is>
          <t>Côte de boeuf</t>
        </is>
      </c>
      <c r="D250">
        <f>IFERROR(VLOOKUP(C250,ANALYSE!A:F,6,FALSE),0)</f>
        <v/>
      </c>
      <c r="E250">
        <f>ROUND(PREVISION_SERVICE!D10*D250,1)</f>
        <v/>
      </c>
      <c r="F250" t="inlineStr">
        <is>
          <t>portion</t>
        </is>
      </c>
      <c r="G250" t="inlineStr">
        <is>
          <t>Ludovic</t>
        </is>
      </c>
    </row>
    <row r="251">
      <c r="A251">
        <f>PREVISION_SERVICE!A10</f>
        <v/>
      </c>
      <c r="B251">
        <f>PREVISION_SERVICE!C10</f>
        <v/>
      </c>
      <c r="C251" t="inlineStr">
        <is>
          <t>Filet de poisson frais</t>
        </is>
      </c>
      <c r="D251">
        <f>IFERROR(VLOOKUP(C251,ANALYSE!A:F,6,FALSE),0)</f>
        <v/>
      </c>
      <c r="E251">
        <f>ROUND(PREVISION_SERVICE!D10*D251,1)</f>
        <v/>
      </c>
      <c r="F251" t="inlineStr">
        <is>
          <t>portion</t>
        </is>
      </c>
      <c r="G251" t="inlineStr">
        <is>
          <t>Ludovic</t>
        </is>
      </c>
    </row>
    <row r="252">
      <c r="A252">
        <f>PREVISION_SERVICE!A10</f>
        <v/>
      </c>
      <c r="B252">
        <f>PREVISION_SERVICE!C10</f>
        <v/>
      </c>
      <c r="C252" t="inlineStr">
        <is>
          <t>Tartare de poisson</t>
        </is>
      </c>
      <c r="D252">
        <f>IFERROR(VLOOKUP(C252,ANALYSE!A:F,6,FALSE),0)</f>
        <v/>
      </c>
      <c r="E252">
        <f>ROUND(PREVISION_SERVICE!D10*D252,1)</f>
        <v/>
      </c>
      <c r="F252" t="inlineStr">
        <is>
          <t>portion</t>
        </is>
      </c>
      <c r="G252" t="inlineStr">
        <is>
          <t>Ludovic</t>
        </is>
      </c>
    </row>
    <row r="253">
      <c r="A253">
        <f>PREVISION_SERVICE!A10</f>
        <v/>
      </c>
      <c r="B253">
        <f>PREVISION_SERVICE!C10</f>
        <v/>
      </c>
      <c r="C253" t="inlineStr">
        <is>
          <t>Frites maison</t>
        </is>
      </c>
      <c r="D253">
        <f>IFERROR(VLOOKUP(C253,ANALYSE!A:F,6,FALSE),0)</f>
        <v/>
      </c>
      <c r="E253">
        <f>ROUND(PREVISION_SERVICE!D10*D253,1)</f>
        <v/>
      </c>
      <c r="F253" t="inlineStr">
        <is>
          <t>portion</t>
        </is>
      </c>
      <c r="G253" t="inlineStr">
        <is>
          <t>Ludovic</t>
        </is>
      </c>
    </row>
    <row r="254">
      <c r="A254">
        <f>PREVISION_SERVICE!A10</f>
        <v/>
      </c>
      <c r="B254">
        <f>PREVISION_SERVICE!C10</f>
        <v/>
      </c>
      <c r="C254" t="inlineStr">
        <is>
          <t>Salade</t>
        </is>
      </c>
      <c r="D254">
        <f>IFERROR(VLOOKUP(C254,ANALYSE!A:F,6,FALSE),0)</f>
        <v/>
      </c>
      <c r="E254">
        <f>ROUND(PREVISION_SERVICE!D10*D254,1)</f>
        <v/>
      </c>
      <c r="F254" t="inlineStr">
        <is>
          <t>portion</t>
        </is>
      </c>
      <c r="G254" t="inlineStr">
        <is>
          <t>Christelle</t>
        </is>
      </c>
    </row>
    <row r="255">
      <c r="A255">
        <f>PREVISION_SERVICE!A10</f>
        <v/>
      </c>
      <c r="B255">
        <f>PREVISION_SERVICE!C10</f>
        <v/>
      </c>
      <c r="C255" t="inlineStr">
        <is>
          <t>Légumes variés</t>
        </is>
      </c>
      <c r="D255">
        <f>IFERROR(VLOOKUP(C255,ANALYSE!A:F,6,FALSE),0)</f>
        <v/>
      </c>
      <c r="E255">
        <f>ROUND(PREVISION_SERVICE!D10*D255,1)</f>
        <v/>
      </c>
      <c r="F255" t="inlineStr">
        <is>
          <t>portion</t>
        </is>
      </c>
      <c r="G255" t="inlineStr">
        <is>
          <t>Christelle</t>
        </is>
      </c>
    </row>
    <row r="256">
      <c r="A256">
        <f>PREVISION_SERVICE!A10</f>
        <v/>
      </c>
      <c r="B256">
        <f>PREVISION_SERVICE!C10</f>
        <v/>
      </c>
      <c r="C256" t="inlineStr">
        <is>
          <t>Gratin</t>
        </is>
      </c>
      <c r="D256">
        <f>IFERROR(VLOOKUP(C256,ANALYSE!A:F,6,FALSE),0)</f>
        <v/>
      </c>
      <c r="E256">
        <f>ROUND(PREVISION_SERVICE!D10*D256,1)</f>
        <v/>
      </c>
      <c r="F256" t="inlineStr">
        <is>
          <t>portion</t>
        </is>
      </c>
      <c r="G256" t="inlineStr">
        <is>
          <t>Christelle</t>
        </is>
      </c>
    </row>
    <row r="257">
      <c r="A257">
        <f>PREVISION_SERVICE!A10</f>
        <v/>
      </c>
      <c r="B257">
        <f>PREVISION_SERVICE!C10</f>
        <v/>
      </c>
      <c r="C257" t="inlineStr">
        <is>
          <t>Fondant chocolat</t>
        </is>
      </c>
      <c r="D257">
        <f>IFERROR(VLOOKUP(C257,ANALYSE!A:F,6,FALSE),0)</f>
        <v/>
      </c>
      <c r="E257">
        <f>ROUND(PREVISION_SERVICE!D10*D257,1)</f>
        <v/>
      </c>
      <c r="F257" t="inlineStr">
        <is>
          <t>portion</t>
        </is>
      </c>
      <c r="G257" t="inlineStr">
        <is>
          <t>Christelle</t>
        </is>
      </c>
    </row>
    <row r="258">
      <c r="A258">
        <f>PREVISION_SERVICE!A10</f>
        <v/>
      </c>
      <c r="B258">
        <f>PREVISION_SERVICE!C10</f>
        <v/>
      </c>
      <c r="C258" t="inlineStr">
        <is>
          <t>Tartelettes</t>
        </is>
      </c>
      <c r="D258">
        <f>IFERROR(VLOOKUP(C258,ANALYSE!A:F,6,FALSE),0)</f>
        <v/>
      </c>
      <c r="E258">
        <f>ROUND(PREVISION_SERVICE!D10*D258,1)</f>
        <v/>
      </c>
      <c r="F258" t="inlineStr">
        <is>
          <t>portion</t>
        </is>
      </c>
      <c r="G258" t="inlineStr">
        <is>
          <t>Christelle</t>
        </is>
      </c>
    </row>
    <row r="259">
      <c r="A259">
        <f>PREVISION_SERVICE!A10</f>
        <v/>
      </c>
      <c r="B259">
        <f>PREVISION_SERVICE!C10</f>
        <v/>
      </c>
      <c r="C259" t="inlineStr">
        <is>
          <t>Profiteroles</t>
        </is>
      </c>
      <c r="D259">
        <f>IFERROR(VLOOKUP(C259,ANALYSE!A:F,6,FALSE),0)</f>
        <v/>
      </c>
      <c r="E259">
        <f>ROUND(PREVISION_SERVICE!D10*D259,1)</f>
        <v/>
      </c>
      <c r="F259" t="inlineStr">
        <is>
          <t>portion</t>
        </is>
      </c>
      <c r="G259" t="inlineStr">
        <is>
          <t>Christelle</t>
        </is>
      </c>
    </row>
    <row r="260">
      <c r="A260">
        <f>PREVISION_SERVICE!A10</f>
        <v/>
      </c>
      <c r="B260">
        <f>PREVISION_SERVICE!C10</f>
        <v/>
      </c>
      <c r="C260" t="inlineStr">
        <is>
          <t>Gaufres</t>
        </is>
      </c>
      <c r="D260">
        <f>IFERROR(VLOOKUP(C260,ANALYSE!A:F,6,FALSE),0)</f>
        <v/>
      </c>
      <c r="E260">
        <f>ROUND(PREVISION_SERVICE!D10*D260,1)</f>
        <v/>
      </c>
      <c r="F260" t="inlineStr">
        <is>
          <t>portion</t>
        </is>
      </c>
      <c r="G260" t="inlineStr">
        <is>
          <t>Christelle</t>
        </is>
      </c>
    </row>
    <row r="261">
      <c r="A261">
        <f>PREVISION_SERVICE!A10</f>
        <v/>
      </c>
      <c r="B261">
        <f>PREVISION_SERVICE!C10</f>
        <v/>
      </c>
      <c r="C261" t="inlineStr">
        <is>
          <t>Compotée</t>
        </is>
      </c>
      <c r="D261">
        <f>IFERROR(VLOOKUP(C261,ANALYSE!A:F,6,FALSE),0)</f>
        <v/>
      </c>
      <c r="E261">
        <f>ROUND(PREVISION_SERVICE!D10*D261,1)</f>
        <v/>
      </c>
      <c r="F261" t="inlineStr">
        <is>
          <t>portion</t>
        </is>
      </c>
      <c r="G261" t="inlineStr">
        <is>
          <t>Christelle</t>
        </is>
      </c>
    </row>
    <row r="262">
      <c r="A262">
        <f>PREVISION_SERVICE!A10</f>
        <v/>
      </c>
      <c r="B262">
        <f>PREVISION_SERVICE!C10</f>
        <v/>
      </c>
      <c r="C262" t="inlineStr">
        <is>
          <t>Boule de glace</t>
        </is>
      </c>
      <c r="D262">
        <f>IFERROR(VLOOKUP(C262,ANALYSE!A:F,6,FALSE),0)</f>
        <v/>
      </c>
      <c r="E262">
        <f>ROUND(PREVISION_SERVICE!D10*D262,1)</f>
        <v/>
      </c>
      <c r="F262" t="inlineStr">
        <is>
          <t>portion</t>
        </is>
      </c>
      <c r="G262" t="inlineStr">
        <is>
          <t>Christelle</t>
        </is>
      </c>
    </row>
    <row r="263">
      <c r="A263">
        <f>PREVISION_SERVICE!A11</f>
        <v/>
      </c>
      <c r="B263">
        <f>PREVISION_SERVICE!C11</f>
        <v/>
      </c>
      <c r="C263" t="inlineStr">
        <is>
          <t>Accras</t>
        </is>
      </c>
      <c r="D263">
        <f>IFERROR(VLOOKUP(C263,ANALYSE!A:F,6,FALSE),0)</f>
        <v/>
      </c>
      <c r="E263">
        <f>ROUND(PREVISION_SERVICE!D11*D263,1)</f>
        <v/>
      </c>
      <c r="F263" t="inlineStr">
        <is>
          <t>portion</t>
        </is>
      </c>
      <c r="G263" t="inlineStr">
        <is>
          <t>Christelle</t>
        </is>
      </c>
    </row>
    <row r="264">
      <c r="A264">
        <f>PREVISION_SERVICE!A11</f>
        <v/>
      </c>
      <c r="B264">
        <f>PREVISION_SERVICE!C11</f>
        <v/>
      </c>
      <c r="C264" t="inlineStr">
        <is>
          <t>Nems</t>
        </is>
      </c>
      <c r="D264">
        <f>IFERROR(VLOOKUP(C264,ANALYSE!A:F,6,FALSE),0)</f>
        <v/>
      </c>
      <c r="E264">
        <f>ROUND(PREVISION_SERVICE!D11*D264,1)</f>
        <v/>
      </c>
      <c r="F264" t="inlineStr">
        <is>
          <t>portion</t>
        </is>
      </c>
      <c r="G264" t="inlineStr">
        <is>
          <t>Christelle</t>
        </is>
      </c>
    </row>
    <row r="265">
      <c r="A265">
        <f>PREVISION_SERVICE!A11</f>
        <v/>
      </c>
      <c r="B265">
        <f>PREVISION_SERVICE!C11</f>
        <v/>
      </c>
      <c r="C265" t="inlineStr">
        <is>
          <t>Samoussas</t>
        </is>
      </c>
      <c r="D265">
        <f>IFERROR(VLOOKUP(C265,ANALYSE!A:F,6,FALSE),0)</f>
        <v/>
      </c>
      <c r="E265">
        <f>ROUND(PREVISION_SERVICE!D11*D265,1)</f>
        <v/>
      </c>
      <c r="F265" t="inlineStr">
        <is>
          <t>portion</t>
        </is>
      </c>
      <c r="G265" t="inlineStr">
        <is>
          <t>Christelle</t>
        </is>
      </c>
    </row>
    <row r="266">
      <c r="A266">
        <f>PREVISION_SERVICE!A11</f>
        <v/>
      </c>
      <c r="B266">
        <f>PREVISION_SERVICE!C11</f>
        <v/>
      </c>
      <c r="C266" t="inlineStr">
        <is>
          <t>Crevettes tempura</t>
        </is>
      </c>
      <c r="D266">
        <f>IFERROR(VLOOKUP(C266,ANALYSE!A:F,6,FALSE),0)</f>
        <v/>
      </c>
      <c r="E266">
        <f>ROUND(PREVISION_SERVICE!D11*D266,1)</f>
        <v/>
      </c>
      <c r="F266" t="inlineStr">
        <is>
          <t>portion</t>
        </is>
      </c>
      <c r="G266" t="inlineStr">
        <is>
          <t>Christelle</t>
        </is>
      </c>
    </row>
    <row r="267">
      <c r="A267">
        <f>PREVISION_SERVICE!A11</f>
        <v/>
      </c>
      <c r="B267">
        <f>PREVISION_SERVICE!C11</f>
        <v/>
      </c>
      <c r="C267" t="inlineStr">
        <is>
          <t>Pisquettes</t>
        </is>
      </c>
      <c r="D267">
        <f>IFERROR(VLOOKUP(C267,ANALYSE!A:F,6,FALSE),0)</f>
        <v/>
      </c>
      <c r="E267">
        <f>ROUND(PREVISION_SERVICE!D11*D267,1)</f>
        <v/>
      </c>
      <c r="F267" t="inlineStr">
        <is>
          <t>portion</t>
        </is>
      </c>
      <c r="G267" t="inlineStr">
        <is>
          <t>Christelle</t>
        </is>
      </c>
    </row>
    <row r="268">
      <c r="A268">
        <f>PREVISION_SERVICE!A11</f>
        <v/>
      </c>
      <c r="B268">
        <f>PREVISION_SERVICE!C11</f>
        <v/>
      </c>
      <c r="C268" t="inlineStr">
        <is>
          <t>Tapas trio</t>
        </is>
      </c>
      <c r="D268">
        <f>IFERROR(VLOOKUP(C268,ANALYSE!A:F,6,FALSE),0)</f>
        <v/>
      </c>
      <c r="E268">
        <f>ROUND(PREVISION_SERVICE!D11*D268,1)</f>
        <v/>
      </c>
      <c r="F268" t="inlineStr">
        <is>
          <t>portion</t>
        </is>
      </c>
      <c r="G268" t="inlineStr">
        <is>
          <t>Christelle</t>
        </is>
      </c>
    </row>
    <row r="269">
      <c r="A269">
        <f>PREVISION_SERVICE!A11</f>
        <v/>
      </c>
      <c r="B269">
        <f>PREVISION_SERVICE!C11</f>
        <v/>
      </c>
      <c r="C269" t="inlineStr">
        <is>
          <t>Assiette créole</t>
        </is>
      </c>
      <c r="D269">
        <f>IFERROR(VLOOKUP(C269,ANALYSE!A:F,6,FALSE),0)</f>
        <v/>
      </c>
      <c r="E269">
        <f>ROUND(PREVISION_SERVICE!D11*D269,1)</f>
        <v/>
      </c>
      <c r="F269" t="inlineStr">
        <is>
          <t>portion</t>
        </is>
      </c>
      <c r="G269" t="inlineStr">
        <is>
          <t>Christelle</t>
        </is>
      </c>
    </row>
    <row r="270">
      <c r="A270">
        <f>PREVISION_SERVICE!A11</f>
        <v/>
      </c>
      <c r="B270">
        <f>PREVISION_SERVICE!C11</f>
        <v/>
      </c>
      <c r="C270" t="inlineStr">
        <is>
          <t>Salade Cap Est</t>
        </is>
      </c>
      <c r="D270">
        <f>IFERROR(VLOOKUP(C270,ANALYSE!A:F,6,FALSE),0)</f>
        <v/>
      </c>
      <c r="E270">
        <f>ROUND(PREVISION_SERVICE!D11*D270,1)</f>
        <v/>
      </c>
      <c r="F270" t="inlineStr">
        <is>
          <t>portion</t>
        </is>
      </c>
      <c r="G270" t="inlineStr">
        <is>
          <t>Christelle</t>
        </is>
      </c>
    </row>
    <row r="271">
      <c r="A271">
        <f>PREVISION_SERVICE!A11</f>
        <v/>
      </c>
      <c r="B271">
        <f>PREVISION_SERVICE!C11</f>
        <v/>
      </c>
      <c r="C271" t="inlineStr">
        <is>
          <t>Brochette de boeuf</t>
        </is>
      </c>
      <c r="D271">
        <f>IFERROR(VLOOKUP(C271,ANALYSE!A:F,6,FALSE),0)</f>
        <v/>
      </c>
      <c r="E271">
        <f>ROUND(PREVISION_SERVICE!D11*D271,1)</f>
        <v/>
      </c>
      <c r="F271" t="inlineStr">
        <is>
          <t>portion</t>
        </is>
      </c>
      <c r="G271" t="inlineStr">
        <is>
          <t>Ludovic</t>
        </is>
      </c>
    </row>
    <row r="272">
      <c r="A272">
        <f>PREVISION_SERVICE!A11</f>
        <v/>
      </c>
      <c r="B272">
        <f>PREVISION_SERVICE!C11</f>
        <v/>
      </c>
      <c r="C272" t="inlineStr">
        <is>
          <t>Brochette de crevettes</t>
        </is>
      </c>
      <c r="D272">
        <f>IFERROR(VLOOKUP(C272,ANALYSE!A:F,6,FALSE),0)</f>
        <v/>
      </c>
      <c r="E272">
        <f>ROUND(PREVISION_SERVICE!D11*D272,1)</f>
        <v/>
      </c>
      <c r="F272" t="inlineStr">
        <is>
          <t>portion</t>
        </is>
      </c>
      <c r="G272" t="inlineStr">
        <is>
          <t>Ludovic</t>
        </is>
      </c>
    </row>
    <row r="273">
      <c r="A273">
        <f>PREVISION_SERVICE!A11</f>
        <v/>
      </c>
      <c r="B273">
        <f>PREVISION_SERVICE!C11</f>
        <v/>
      </c>
      <c r="C273" t="inlineStr">
        <is>
          <t>Brochette de poisson</t>
        </is>
      </c>
      <c r="D273">
        <f>IFERROR(VLOOKUP(C273,ANALYSE!A:F,6,FALSE),0)</f>
        <v/>
      </c>
      <c r="E273">
        <f>ROUND(PREVISION_SERVICE!D11*D273,1)</f>
        <v/>
      </c>
      <c r="F273" t="inlineStr">
        <is>
          <t>portion</t>
        </is>
      </c>
      <c r="G273" t="inlineStr">
        <is>
          <t>Ludovic</t>
        </is>
      </c>
    </row>
    <row r="274">
      <c r="A274">
        <f>PREVISION_SERVICE!A11</f>
        <v/>
      </c>
      <c r="B274">
        <f>PREVISION_SERVICE!C11</f>
        <v/>
      </c>
      <c r="C274" t="inlineStr">
        <is>
          <t>Brochette de poulet</t>
        </is>
      </c>
      <c r="D274">
        <f>IFERROR(VLOOKUP(C274,ANALYSE!A:F,6,FALSE),0)</f>
        <v/>
      </c>
      <c r="E274">
        <f>ROUND(PREVISION_SERVICE!D11*D274,1)</f>
        <v/>
      </c>
      <c r="F274" t="inlineStr">
        <is>
          <t>portion</t>
        </is>
      </c>
      <c r="G274" t="inlineStr">
        <is>
          <t>Ludovic</t>
        </is>
      </c>
    </row>
    <row r="275">
      <c r="A275">
        <f>PREVISION_SERVICE!A11</f>
        <v/>
      </c>
      <c r="B275">
        <f>PREVISION_SERVICE!C11</f>
        <v/>
      </c>
      <c r="C275" t="inlineStr">
        <is>
          <t>Brochette de légumes</t>
        </is>
      </c>
      <c r="D275">
        <f>IFERROR(VLOOKUP(C275,ANALYSE!A:F,6,FALSE),0)</f>
        <v/>
      </c>
      <c r="E275">
        <f>ROUND(PREVISION_SERVICE!D11*D275,1)</f>
        <v/>
      </c>
      <c r="F275" t="inlineStr">
        <is>
          <t>portion</t>
        </is>
      </c>
      <c r="G275" t="inlineStr">
        <is>
          <t>Ludovic</t>
        </is>
      </c>
    </row>
    <row r="276">
      <c r="A276">
        <f>PREVISION_SERVICE!A11</f>
        <v/>
      </c>
      <c r="B276">
        <f>PREVISION_SERVICE!C11</f>
        <v/>
      </c>
      <c r="C276" t="inlineStr">
        <is>
          <t>Entrecôte</t>
        </is>
      </c>
      <c r="D276">
        <f>IFERROR(VLOOKUP(C276,ANALYSE!A:F,6,FALSE),0)</f>
        <v/>
      </c>
      <c r="E276">
        <f>ROUND(PREVISION_SERVICE!D11*D276,1)</f>
        <v/>
      </c>
      <c r="F276" t="inlineStr">
        <is>
          <t>portion</t>
        </is>
      </c>
      <c r="G276" t="inlineStr">
        <is>
          <t>Ludovic</t>
        </is>
      </c>
    </row>
    <row r="277">
      <c r="A277">
        <f>PREVISION_SERVICE!A11</f>
        <v/>
      </c>
      <c r="B277">
        <f>PREVISION_SERVICE!C11</f>
        <v/>
      </c>
      <c r="C277" t="inlineStr">
        <is>
          <t>Pièce du boucher</t>
        </is>
      </c>
      <c r="D277">
        <f>IFERROR(VLOOKUP(C277,ANALYSE!A:F,6,FALSE),0)</f>
        <v/>
      </c>
      <c r="E277">
        <f>ROUND(PREVISION_SERVICE!D11*D277,1)</f>
        <v/>
      </c>
      <c r="F277" t="inlineStr">
        <is>
          <t>portion</t>
        </is>
      </c>
      <c r="G277" t="inlineStr">
        <is>
          <t>Ludovic</t>
        </is>
      </c>
    </row>
    <row r="278">
      <c r="A278">
        <f>PREVISION_SERVICE!A11</f>
        <v/>
      </c>
      <c r="B278">
        <f>PREVISION_SERVICE!C11</f>
        <v/>
      </c>
      <c r="C278" t="inlineStr">
        <is>
          <t>Magret de canard</t>
        </is>
      </c>
      <c r="D278">
        <f>IFERROR(VLOOKUP(C278,ANALYSE!A:F,6,FALSE),0)</f>
        <v/>
      </c>
      <c r="E278">
        <f>ROUND(PREVISION_SERVICE!D11*D278,1)</f>
        <v/>
      </c>
      <c r="F278" t="inlineStr">
        <is>
          <t>portion</t>
        </is>
      </c>
      <c r="G278" t="inlineStr">
        <is>
          <t>Ludovic</t>
        </is>
      </c>
    </row>
    <row r="279">
      <c r="A279">
        <f>PREVISION_SERVICE!A11</f>
        <v/>
      </c>
      <c r="B279">
        <f>PREVISION_SERVICE!C11</f>
        <v/>
      </c>
      <c r="C279" t="inlineStr">
        <is>
          <t>Côte de boeuf</t>
        </is>
      </c>
      <c r="D279">
        <f>IFERROR(VLOOKUP(C279,ANALYSE!A:F,6,FALSE),0)</f>
        <v/>
      </c>
      <c r="E279">
        <f>ROUND(PREVISION_SERVICE!D11*D279,1)</f>
        <v/>
      </c>
      <c r="F279" t="inlineStr">
        <is>
          <t>portion</t>
        </is>
      </c>
      <c r="G279" t="inlineStr">
        <is>
          <t>Ludovic</t>
        </is>
      </c>
    </row>
    <row r="280">
      <c r="A280">
        <f>PREVISION_SERVICE!A11</f>
        <v/>
      </c>
      <c r="B280">
        <f>PREVISION_SERVICE!C11</f>
        <v/>
      </c>
      <c r="C280" t="inlineStr">
        <is>
          <t>Filet de poisson frais</t>
        </is>
      </c>
      <c r="D280">
        <f>IFERROR(VLOOKUP(C280,ANALYSE!A:F,6,FALSE),0)</f>
        <v/>
      </c>
      <c r="E280">
        <f>ROUND(PREVISION_SERVICE!D11*D280,1)</f>
        <v/>
      </c>
      <c r="F280" t="inlineStr">
        <is>
          <t>portion</t>
        </is>
      </c>
      <c r="G280" t="inlineStr">
        <is>
          <t>Ludovic</t>
        </is>
      </c>
    </row>
    <row r="281">
      <c r="A281">
        <f>PREVISION_SERVICE!A11</f>
        <v/>
      </c>
      <c r="B281">
        <f>PREVISION_SERVICE!C11</f>
        <v/>
      </c>
      <c r="C281" t="inlineStr">
        <is>
          <t>Tartare de poisson</t>
        </is>
      </c>
      <c r="D281">
        <f>IFERROR(VLOOKUP(C281,ANALYSE!A:F,6,FALSE),0)</f>
        <v/>
      </c>
      <c r="E281">
        <f>ROUND(PREVISION_SERVICE!D11*D281,1)</f>
        <v/>
      </c>
      <c r="F281" t="inlineStr">
        <is>
          <t>portion</t>
        </is>
      </c>
      <c r="G281" t="inlineStr">
        <is>
          <t>Ludovic</t>
        </is>
      </c>
    </row>
    <row r="282">
      <c r="A282">
        <f>PREVISION_SERVICE!A11</f>
        <v/>
      </c>
      <c r="B282">
        <f>PREVISION_SERVICE!C11</f>
        <v/>
      </c>
      <c r="C282" t="inlineStr">
        <is>
          <t>Frites maison</t>
        </is>
      </c>
      <c r="D282">
        <f>IFERROR(VLOOKUP(C282,ANALYSE!A:F,6,FALSE),0)</f>
        <v/>
      </c>
      <c r="E282">
        <f>ROUND(PREVISION_SERVICE!D11*D282,1)</f>
        <v/>
      </c>
      <c r="F282" t="inlineStr">
        <is>
          <t>portion</t>
        </is>
      </c>
      <c r="G282" t="inlineStr">
        <is>
          <t>Ludovic</t>
        </is>
      </c>
    </row>
    <row r="283">
      <c r="A283">
        <f>PREVISION_SERVICE!A11</f>
        <v/>
      </c>
      <c r="B283">
        <f>PREVISION_SERVICE!C11</f>
        <v/>
      </c>
      <c r="C283" t="inlineStr">
        <is>
          <t>Salade</t>
        </is>
      </c>
      <c r="D283">
        <f>IFERROR(VLOOKUP(C283,ANALYSE!A:F,6,FALSE),0)</f>
        <v/>
      </c>
      <c r="E283">
        <f>ROUND(PREVISION_SERVICE!D11*D283,1)</f>
        <v/>
      </c>
      <c r="F283" t="inlineStr">
        <is>
          <t>portion</t>
        </is>
      </c>
      <c r="G283" t="inlineStr">
        <is>
          <t>Christelle</t>
        </is>
      </c>
    </row>
    <row r="284">
      <c r="A284">
        <f>PREVISION_SERVICE!A11</f>
        <v/>
      </c>
      <c r="B284">
        <f>PREVISION_SERVICE!C11</f>
        <v/>
      </c>
      <c r="C284" t="inlineStr">
        <is>
          <t>Légumes variés</t>
        </is>
      </c>
      <c r="D284">
        <f>IFERROR(VLOOKUP(C284,ANALYSE!A:F,6,FALSE),0)</f>
        <v/>
      </c>
      <c r="E284">
        <f>ROUND(PREVISION_SERVICE!D11*D284,1)</f>
        <v/>
      </c>
      <c r="F284" t="inlineStr">
        <is>
          <t>portion</t>
        </is>
      </c>
      <c r="G284" t="inlineStr">
        <is>
          <t>Christelle</t>
        </is>
      </c>
    </row>
    <row r="285">
      <c r="A285">
        <f>PREVISION_SERVICE!A11</f>
        <v/>
      </c>
      <c r="B285">
        <f>PREVISION_SERVICE!C11</f>
        <v/>
      </c>
      <c r="C285" t="inlineStr">
        <is>
          <t>Gratin</t>
        </is>
      </c>
      <c r="D285">
        <f>IFERROR(VLOOKUP(C285,ANALYSE!A:F,6,FALSE),0)</f>
        <v/>
      </c>
      <c r="E285">
        <f>ROUND(PREVISION_SERVICE!D11*D285,1)</f>
        <v/>
      </c>
      <c r="F285" t="inlineStr">
        <is>
          <t>portion</t>
        </is>
      </c>
      <c r="G285" t="inlineStr">
        <is>
          <t>Christelle</t>
        </is>
      </c>
    </row>
    <row r="286">
      <c r="A286">
        <f>PREVISION_SERVICE!A11</f>
        <v/>
      </c>
      <c r="B286">
        <f>PREVISION_SERVICE!C11</f>
        <v/>
      </c>
      <c r="C286" t="inlineStr">
        <is>
          <t>Fondant chocolat</t>
        </is>
      </c>
      <c r="D286">
        <f>IFERROR(VLOOKUP(C286,ANALYSE!A:F,6,FALSE),0)</f>
        <v/>
      </c>
      <c r="E286">
        <f>ROUND(PREVISION_SERVICE!D11*D286,1)</f>
        <v/>
      </c>
      <c r="F286" t="inlineStr">
        <is>
          <t>portion</t>
        </is>
      </c>
      <c r="G286" t="inlineStr">
        <is>
          <t>Christelle</t>
        </is>
      </c>
    </row>
    <row r="287">
      <c r="A287">
        <f>PREVISION_SERVICE!A11</f>
        <v/>
      </c>
      <c r="B287">
        <f>PREVISION_SERVICE!C11</f>
        <v/>
      </c>
      <c r="C287" t="inlineStr">
        <is>
          <t>Tartelettes</t>
        </is>
      </c>
      <c r="D287">
        <f>IFERROR(VLOOKUP(C287,ANALYSE!A:F,6,FALSE),0)</f>
        <v/>
      </c>
      <c r="E287">
        <f>ROUND(PREVISION_SERVICE!D11*D287,1)</f>
        <v/>
      </c>
      <c r="F287" t="inlineStr">
        <is>
          <t>portion</t>
        </is>
      </c>
      <c r="G287" t="inlineStr">
        <is>
          <t>Christelle</t>
        </is>
      </c>
    </row>
    <row r="288">
      <c r="A288">
        <f>PREVISION_SERVICE!A11</f>
        <v/>
      </c>
      <c r="B288">
        <f>PREVISION_SERVICE!C11</f>
        <v/>
      </c>
      <c r="C288" t="inlineStr">
        <is>
          <t>Profiteroles</t>
        </is>
      </c>
      <c r="D288">
        <f>IFERROR(VLOOKUP(C288,ANALYSE!A:F,6,FALSE),0)</f>
        <v/>
      </c>
      <c r="E288">
        <f>ROUND(PREVISION_SERVICE!D11*D288,1)</f>
        <v/>
      </c>
      <c r="F288" t="inlineStr">
        <is>
          <t>portion</t>
        </is>
      </c>
      <c r="G288" t="inlineStr">
        <is>
          <t>Christelle</t>
        </is>
      </c>
    </row>
    <row r="289">
      <c r="A289">
        <f>PREVISION_SERVICE!A11</f>
        <v/>
      </c>
      <c r="B289">
        <f>PREVISION_SERVICE!C11</f>
        <v/>
      </c>
      <c r="C289" t="inlineStr">
        <is>
          <t>Gaufres</t>
        </is>
      </c>
      <c r="D289">
        <f>IFERROR(VLOOKUP(C289,ANALYSE!A:F,6,FALSE),0)</f>
        <v/>
      </c>
      <c r="E289">
        <f>ROUND(PREVISION_SERVICE!D11*D289,1)</f>
        <v/>
      </c>
      <c r="F289" t="inlineStr">
        <is>
          <t>portion</t>
        </is>
      </c>
      <c r="G289" t="inlineStr">
        <is>
          <t>Christelle</t>
        </is>
      </c>
    </row>
    <row r="290">
      <c r="A290">
        <f>PREVISION_SERVICE!A11</f>
        <v/>
      </c>
      <c r="B290">
        <f>PREVISION_SERVICE!C11</f>
        <v/>
      </c>
      <c r="C290" t="inlineStr">
        <is>
          <t>Compotée</t>
        </is>
      </c>
      <c r="D290">
        <f>IFERROR(VLOOKUP(C290,ANALYSE!A:F,6,FALSE),0)</f>
        <v/>
      </c>
      <c r="E290">
        <f>ROUND(PREVISION_SERVICE!D11*D290,1)</f>
        <v/>
      </c>
      <c r="F290" t="inlineStr">
        <is>
          <t>portion</t>
        </is>
      </c>
      <c r="G290" t="inlineStr">
        <is>
          <t>Christelle</t>
        </is>
      </c>
    </row>
    <row r="291">
      <c r="A291">
        <f>PREVISION_SERVICE!A11</f>
        <v/>
      </c>
      <c r="B291">
        <f>PREVISION_SERVICE!C11</f>
        <v/>
      </c>
      <c r="C291" t="inlineStr">
        <is>
          <t>Boule de glace</t>
        </is>
      </c>
      <c r="D291">
        <f>IFERROR(VLOOKUP(C291,ANALYSE!A:F,6,FALSE),0)</f>
        <v/>
      </c>
      <c r="E291">
        <f>ROUND(PREVISION_SERVICE!D11*D291,1)</f>
        <v/>
      </c>
      <c r="F291" t="inlineStr">
        <is>
          <t>portion</t>
        </is>
      </c>
      <c r="G291" t="inlineStr">
        <is>
          <t>Christelle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4" customWidth="1" min="4" max="4"/>
    <col width="24" customWidth="1" min="5" max="5"/>
    <col width="18" customWidth="1" min="6" max="6"/>
    <col width="36" customWidth="1" min="7" max="7"/>
    <col width="14" customWidth="1" min="8" max="8"/>
    <col width="34" customWidth="1" min="9" max="9"/>
  </cols>
  <sheetData>
    <row r="1">
      <c r="A1" s="3" t="inlineStr">
        <is>
          <t>Horodatage</t>
        </is>
      </c>
      <c r="B1" s="3" t="inlineStr">
        <is>
          <t>Date</t>
        </is>
      </c>
      <c r="C1" s="3" t="inlineStr">
        <is>
          <t>Service</t>
        </is>
      </c>
      <c r="D1" s="3" t="inlineStr">
        <is>
          <t>Employé</t>
        </is>
      </c>
      <c r="E1" s="3" t="inlineStr">
        <is>
          <t>Produit</t>
        </is>
      </c>
      <c r="F1" s="3" t="inlineStr">
        <is>
          <t>Quantité manquante</t>
        </is>
      </c>
      <c r="G1" s="3" t="inlineStr">
        <is>
          <t>Commentaire</t>
        </is>
      </c>
      <c r="H1" s="3" t="inlineStr">
        <is>
          <t>Statut achat</t>
        </is>
      </c>
      <c r="I1" s="5" t="inlineStr">
        <is>
          <t>Photo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4" customWidth="1" min="4" max="4"/>
    <col width="24" customWidth="1" min="5" max="5"/>
    <col width="16" customWidth="1" min="6" max="6"/>
    <col width="20" customWidth="1" min="7" max="7"/>
    <col width="34" customWidth="1" min="8" max="8"/>
    <col width="34" customWidth="1" min="9" max="9"/>
  </cols>
  <sheetData>
    <row r="1">
      <c r="A1" s="3" t="inlineStr">
        <is>
          <t>Horodatage</t>
        </is>
      </c>
      <c r="B1" s="3" t="inlineStr">
        <is>
          <t>Date</t>
        </is>
      </c>
      <c r="C1" s="3" t="inlineStr">
        <is>
          <t>Service</t>
        </is>
      </c>
      <c r="D1" s="3" t="inlineStr">
        <is>
          <t>Employé</t>
        </is>
      </c>
      <c r="E1" s="3" t="inlineStr">
        <is>
          <t>Produit préparé</t>
        </is>
      </c>
      <c r="F1" s="3" t="inlineStr">
        <is>
          <t>Quantité perdue</t>
        </is>
      </c>
      <c r="G1" s="3" t="inlineStr">
        <is>
          <t>Motif</t>
        </is>
      </c>
      <c r="H1" s="3" t="inlineStr">
        <is>
          <t>Commentaire</t>
        </is>
      </c>
      <c r="I1" s="5" t="inlineStr">
        <is>
          <t>Photo justificative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4" customWidth="1" min="4" max="4"/>
    <col width="60" customWidth="1" min="5" max="5"/>
    <col width="32" customWidth="1" min="6" max="6"/>
    <col width="14" customWidth="1" min="7" max="7"/>
    <col width="34" customWidth="1" min="8" max="8"/>
  </cols>
  <sheetData>
    <row r="1">
      <c r="A1" s="3" t="inlineStr">
        <is>
          <t>Horodatage</t>
        </is>
      </c>
      <c r="B1" s="3" t="inlineStr">
        <is>
          <t>Date</t>
        </is>
      </c>
      <c r="C1" s="3" t="inlineStr">
        <is>
          <t>Service</t>
        </is>
      </c>
      <c r="D1" s="3" t="inlineStr">
        <is>
          <t>Employé</t>
        </is>
      </c>
      <c r="E1" s="3" t="inlineStr">
        <is>
          <t>Checklist JSON</t>
        </is>
      </c>
      <c r="F1" s="3" t="inlineStr">
        <is>
          <t>Remarques</t>
        </is>
      </c>
      <c r="G1" s="3" t="inlineStr">
        <is>
          <t>Statut email</t>
        </is>
      </c>
      <c r="H1" s="5" t="inlineStr">
        <is>
          <t>Photo contrôle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6" customWidth="1" min="4" max="4"/>
    <col width="14" customWidth="1" min="5" max="5"/>
  </cols>
  <sheetData>
    <row r="1">
      <c r="A1" s="3" t="inlineStr">
        <is>
          <t>Produit</t>
        </is>
      </c>
      <c r="B1" s="3" t="inlineStr">
        <is>
          <t>Stock actuel</t>
        </is>
      </c>
      <c r="C1" s="3" t="inlineStr">
        <is>
          <t>Stock mini</t>
        </is>
      </c>
      <c r="D1" s="3" t="inlineStr">
        <is>
          <t>Fournisseur</t>
        </is>
      </c>
      <c r="E1" s="3" t="inlineStr">
        <is>
          <t>Jour conseillé</t>
        </is>
      </c>
    </row>
    <row r="2">
      <c r="A2" t="inlineStr">
        <is>
          <t>Morue</t>
        </is>
      </c>
      <c r="B2" s="4" t="n">
        <v>0</v>
      </c>
      <c r="C2" t="n">
        <v>2</v>
      </c>
      <c r="D2" t="inlineStr">
        <is>
          <t>Poissonnerie</t>
        </is>
      </c>
      <c r="E2" t="inlineStr">
        <is>
          <t>Mardi</t>
        </is>
      </c>
    </row>
    <row r="3">
      <c r="A3" t="inlineStr">
        <is>
          <t>Crevettes</t>
        </is>
      </c>
      <c r="B3" s="4" t="n">
        <v>0</v>
      </c>
      <c r="C3" t="n">
        <v>3</v>
      </c>
      <c r="D3" t="inlineStr">
        <is>
          <t>Poissonnerie</t>
        </is>
      </c>
      <c r="E3" t="inlineStr">
        <is>
          <t>Jeudi</t>
        </is>
      </c>
    </row>
    <row r="4">
      <c r="A4" t="inlineStr">
        <is>
          <t>Poisson frais</t>
        </is>
      </c>
      <c r="B4" s="4" t="n">
        <v>0</v>
      </c>
      <c r="C4" t="n">
        <v>4</v>
      </c>
      <c r="D4" t="inlineStr">
        <is>
          <t>Poissonnerie</t>
        </is>
      </c>
      <c r="E4" t="inlineStr">
        <is>
          <t>Jeudi</t>
        </is>
      </c>
    </row>
    <row r="5">
      <c r="A5" t="inlineStr">
        <is>
          <t>Entrecôte</t>
        </is>
      </c>
      <c r="B5" s="4" t="n">
        <v>0</v>
      </c>
      <c r="C5" t="n">
        <v>6</v>
      </c>
      <c r="D5" t="inlineStr">
        <is>
          <t>Boucherie</t>
        </is>
      </c>
      <c r="E5" t="inlineStr">
        <is>
          <t>Jeudi</t>
        </is>
      </c>
    </row>
    <row r="6">
      <c r="A6" t="inlineStr">
        <is>
          <t>Pièce du boucher</t>
        </is>
      </c>
      <c r="B6" s="4" t="n">
        <v>0</v>
      </c>
      <c r="C6" t="n">
        <v>4</v>
      </c>
      <c r="D6" t="inlineStr">
        <is>
          <t>Boucherie</t>
        </is>
      </c>
      <c r="E6" t="inlineStr">
        <is>
          <t>Jeudi</t>
        </is>
      </c>
    </row>
    <row r="7">
      <c r="A7" t="inlineStr">
        <is>
          <t>Magret</t>
        </is>
      </c>
      <c r="B7" s="4" t="n">
        <v>0</v>
      </c>
      <c r="C7" t="n">
        <v>3</v>
      </c>
      <c r="D7" t="inlineStr">
        <is>
          <t>Boucherie</t>
        </is>
      </c>
      <c r="E7" t="inlineStr">
        <is>
          <t>Jeudi</t>
        </is>
      </c>
    </row>
    <row r="8">
      <c r="A8" t="inlineStr">
        <is>
          <t>Côte de boeuf</t>
        </is>
      </c>
      <c r="B8" s="4" t="n">
        <v>0</v>
      </c>
      <c r="C8" t="n">
        <v>2</v>
      </c>
      <c r="D8" t="inlineStr">
        <is>
          <t>Boucherie</t>
        </is>
      </c>
      <c r="E8" t="inlineStr">
        <is>
          <t>Jeudi</t>
        </is>
      </c>
    </row>
    <row r="9">
      <c r="A9" t="inlineStr">
        <is>
          <t>Poulet</t>
        </is>
      </c>
      <c r="B9" s="4" t="n">
        <v>0</v>
      </c>
      <c r="C9" t="n">
        <v>4</v>
      </c>
      <c r="D9" t="inlineStr">
        <is>
          <t>Boucherie</t>
        </is>
      </c>
      <c r="E9" t="inlineStr">
        <is>
          <t>Jeudi</t>
        </is>
      </c>
    </row>
    <row r="10">
      <c r="A10" t="inlineStr">
        <is>
          <t>Pommes de terre</t>
        </is>
      </c>
      <c r="B10" s="4" t="n">
        <v>0</v>
      </c>
      <c r="C10" t="n">
        <v>8</v>
      </c>
      <c r="D10" t="inlineStr">
        <is>
          <t>Primeur</t>
        </is>
      </c>
      <c r="E10" t="inlineStr">
        <is>
          <t>Mardi</t>
        </is>
      </c>
    </row>
    <row r="11">
      <c r="A11" t="inlineStr">
        <is>
          <t>Salade verte</t>
        </is>
      </c>
      <c r="B11" s="4" t="n">
        <v>0</v>
      </c>
      <c r="C11" t="n">
        <v>4</v>
      </c>
      <c r="D11" t="inlineStr">
        <is>
          <t>Primeur</t>
        </is>
      </c>
      <c r="E11" t="inlineStr">
        <is>
          <t>Mardi</t>
        </is>
      </c>
    </row>
    <row r="12">
      <c r="A12" t="inlineStr">
        <is>
          <t>Légumes variés</t>
        </is>
      </c>
      <c r="B12" s="4" t="n">
        <v>0</v>
      </c>
      <c r="C12" t="n">
        <v>4</v>
      </c>
      <c r="D12" t="inlineStr">
        <is>
          <t>Primeur</t>
        </is>
      </c>
      <c r="E12" t="inlineStr">
        <is>
          <t>Mardi</t>
        </is>
      </c>
    </row>
    <row r="13">
      <c r="A13" t="inlineStr">
        <is>
          <t>Desserts</t>
        </is>
      </c>
      <c r="B13" s="4" t="n">
        <v>0</v>
      </c>
      <c r="C13" t="n">
        <v>4</v>
      </c>
      <c r="D13" t="inlineStr">
        <is>
          <t>Épicerie</t>
        </is>
      </c>
      <c r="E13" t="inlineStr">
        <is>
          <t>Mardi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12" customWidth="1" min="5" max="5"/>
    <col width="14" customWidth="1" min="6" max="6"/>
    <col width="16" customWidth="1" min="7" max="7"/>
    <col width="14" customWidth="1" min="8" max="8"/>
  </cols>
  <sheetData>
    <row r="1">
      <c r="A1" s="3" t="inlineStr">
        <is>
          <t>Produit</t>
        </is>
      </c>
      <c r="B1" s="3" t="inlineStr">
        <is>
          <t>Qté rupture</t>
        </is>
      </c>
      <c r="C1" s="3" t="inlineStr">
        <is>
          <t>Qté pertes</t>
        </is>
      </c>
      <c r="D1" s="3" t="inlineStr">
        <is>
          <t>Stock actuel</t>
        </is>
      </c>
      <c r="E1" s="3" t="inlineStr">
        <is>
          <t>Stock mini</t>
        </is>
      </c>
      <c r="F1" s="3" t="inlineStr">
        <is>
          <t>À commander</t>
        </is>
      </c>
      <c r="G1" s="3" t="inlineStr">
        <is>
          <t>Fournisseur</t>
        </is>
      </c>
      <c r="H1" s="3" t="inlineStr">
        <is>
          <t>Jour conseillé</t>
        </is>
      </c>
    </row>
    <row r="2">
      <c r="A2" t="inlineStr">
        <is>
          <t>Morue</t>
        </is>
      </c>
      <c r="B2">
        <f>SUMIF(RUPTURES!E:E,A2,RUPTURES!F:F)</f>
        <v/>
      </c>
      <c r="C2">
        <f>SUMIF(PERTES!E:E,A2,PERTES!F:F)</f>
        <v/>
      </c>
      <c r="D2">
        <f>IFERROR(VLOOKUP(A2,STOCK_PRODUITS!A:B,2,FALSE),0)</f>
        <v/>
      </c>
      <c r="E2">
        <f>IFERROR(VLOOKUP(A2,STOCK_PRODUITS!A:C,3,FALSE),0)</f>
        <v/>
      </c>
      <c r="F2">
        <f>MAX(B2+C2+E2-D2,0)</f>
        <v/>
      </c>
      <c r="G2">
        <f>IFERROR(VLOOKUP(A2,STOCK_PRODUITS!A:D,4,FALSE),"")</f>
        <v/>
      </c>
      <c r="H2">
        <f>IFERROR(VLOOKUP(A2,STOCK_PRODUITS!A:E,5,FALSE),"")</f>
        <v/>
      </c>
    </row>
    <row r="3">
      <c r="A3" t="inlineStr">
        <is>
          <t>Crevettes</t>
        </is>
      </c>
      <c r="B3">
        <f>SUMIF(RUPTURES!E:E,A3,RUPTURES!F:F)</f>
        <v/>
      </c>
      <c r="C3">
        <f>SUMIF(PERTES!E:E,A3,PERTES!F:F)</f>
        <v/>
      </c>
      <c r="D3">
        <f>IFERROR(VLOOKUP(A3,STOCK_PRODUITS!A:B,2,FALSE),0)</f>
        <v/>
      </c>
      <c r="E3">
        <f>IFERROR(VLOOKUP(A3,STOCK_PRODUITS!A:C,3,FALSE),0)</f>
        <v/>
      </c>
      <c r="F3">
        <f>MAX(B3+C3+E3-D3,0)</f>
        <v/>
      </c>
      <c r="G3">
        <f>IFERROR(VLOOKUP(A3,STOCK_PRODUITS!A:D,4,FALSE),"")</f>
        <v/>
      </c>
      <c r="H3">
        <f>IFERROR(VLOOKUP(A3,STOCK_PRODUITS!A:E,5,FALSE),"")</f>
        <v/>
      </c>
    </row>
    <row r="4">
      <c r="A4" t="inlineStr">
        <is>
          <t>Poisson frais</t>
        </is>
      </c>
      <c r="B4">
        <f>SUMIF(RUPTURES!E:E,A4,RUPTURES!F:F)</f>
        <v/>
      </c>
      <c r="C4">
        <f>SUMIF(PERTES!E:E,A4,PERTES!F:F)</f>
        <v/>
      </c>
      <c r="D4">
        <f>IFERROR(VLOOKUP(A4,STOCK_PRODUITS!A:B,2,FALSE),0)</f>
        <v/>
      </c>
      <c r="E4">
        <f>IFERROR(VLOOKUP(A4,STOCK_PRODUITS!A:C,3,FALSE),0)</f>
        <v/>
      </c>
      <c r="F4">
        <f>MAX(B4+C4+E4-D4,0)</f>
        <v/>
      </c>
      <c r="G4">
        <f>IFERROR(VLOOKUP(A4,STOCK_PRODUITS!A:D,4,FALSE),"")</f>
        <v/>
      </c>
      <c r="H4">
        <f>IFERROR(VLOOKUP(A4,STOCK_PRODUITS!A:E,5,FALSE),"")</f>
        <v/>
      </c>
    </row>
    <row r="5">
      <c r="A5" t="inlineStr">
        <is>
          <t>Entrecôte</t>
        </is>
      </c>
      <c r="B5">
        <f>SUMIF(RUPTURES!E:E,A5,RUPTURES!F:F)</f>
        <v/>
      </c>
      <c r="C5">
        <f>SUMIF(PERTES!E:E,A5,PERTES!F:F)</f>
        <v/>
      </c>
      <c r="D5">
        <f>IFERROR(VLOOKUP(A5,STOCK_PRODUITS!A:B,2,FALSE),0)</f>
        <v/>
      </c>
      <c r="E5">
        <f>IFERROR(VLOOKUP(A5,STOCK_PRODUITS!A:C,3,FALSE),0)</f>
        <v/>
      </c>
      <c r="F5">
        <f>MAX(B5+C5+E5-D5,0)</f>
        <v/>
      </c>
      <c r="G5">
        <f>IFERROR(VLOOKUP(A5,STOCK_PRODUITS!A:D,4,FALSE),"")</f>
        <v/>
      </c>
      <c r="H5">
        <f>IFERROR(VLOOKUP(A5,STOCK_PRODUITS!A:E,5,FALSE),"")</f>
        <v/>
      </c>
    </row>
    <row r="6">
      <c r="A6" t="inlineStr">
        <is>
          <t>Pièce du boucher</t>
        </is>
      </c>
      <c r="B6">
        <f>SUMIF(RUPTURES!E:E,A6,RUPTURES!F:F)</f>
        <v/>
      </c>
      <c r="C6">
        <f>SUMIF(PERTES!E:E,A6,PERTES!F:F)</f>
        <v/>
      </c>
      <c r="D6">
        <f>IFERROR(VLOOKUP(A6,STOCK_PRODUITS!A:B,2,FALSE),0)</f>
        <v/>
      </c>
      <c r="E6">
        <f>IFERROR(VLOOKUP(A6,STOCK_PRODUITS!A:C,3,FALSE),0)</f>
        <v/>
      </c>
      <c r="F6">
        <f>MAX(B6+C6+E6-D6,0)</f>
        <v/>
      </c>
      <c r="G6">
        <f>IFERROR(VLOOKUP(A6,STOCK_PRODUITS!A:D,4,FALSE),"")</f>
        <v/>
      </c>
      <c r="H6">
        <f>IFERROR(VLOOKUP(A6,STOCK_PRODUITS!A:E,5,FALSE),"")</f>
        <v/>
      </c>
    </row>
    <row r="7">
      <c r="A7" t="inlineStr">
        <is>
          <t>Magret</t>
        </is>
      </c>
      <c r="B7">
        <f>SUMIF(RUPTURES!E:E,A7,RUPTURES!F:F)</f>
        <v/>
      </c>
      <c r="C7">
        <f>SUMIF(PERTES!E:E,A7,PERTES!F:F)</f>
        <v/>
      </c>
      <c r="D7">
        <f>IFERROR(VLOOKUP(A7,STOCK_PRODUITS!A:B,2,FALSE),0)</f>
        <v/>
      </c>
      <c r="E7">
        <f>IFERROR(VLOOKUP(A7,STOCK_PRODUITS!A:C,3,FALSE),0)</f>
        <v/>
      </c>
      <c r="F7">
        <f>MAX(B7+C7+E7-D7,0)</f>
        <v/>
      </c>
      <c r="G7">
        <f>IFERROR(VLOOKUP(A7,STOCK_PRODUITS!A:D,4,FALSE),"")</f>
        <v/>
      </c>
      <c r="H7">
        <f>IFERROR(VLOOKUP(A7,STOCK_PRODUITS!A:E,5,FALSE),"")</f>
        <v/>
      </c>
    </row>
    <row r="8">
      <c r="A8" t="inlineStr">
        <is>
          <t>Côte de boeuf</t>
        </is>
      </c>
      <c r="B8">
        <f>SUMIF(RUPTURES!E:E,A8,RUPTURES!F:F)</f>
        <v/>
      </c>
      <c r="C8">
        <f>SUMIF(PERTES!E:E,A8,PERTES!F:F)</f>
        <v/>
      </c>
      <c r="D8">
        <f>IFERROR(VLOOKUP(A8,STOCK_PRODUITS!A:B,2,FALSE),0)</f>
        <v/>
      </c>
      <c r="E8">
        <f>IFERROR(VLOOKUP(A8,STOCK_PRODUITS!A:C,3,FALSE),0)</f>
        <v/>
      </c>
      <c r="F8">
        <f>MAX(B8+C8+E8-D8,0)</f>
        <v/>
      </c>
      <c r="G8">
        <f>IFERROR(VLOOKUP(A8,STOCK_PRODUITS!A:D,4,FALSE),"")</f>
        <v/>
      </c>
      <c r="H8">
        <f>IFERROR(VLOOKUP(A8,STOCK_PRODUITS!A:E,5,FALSE),"")</f>
        <v/>
      </c>
    </row>
    <row r="9">
      <c r="A9" t="inlineStr">
        <is>
          <t>Poulet</t>
        </is>
      </c>
      <c r="B9">
        <f>SUMIF(RUPTURES!E:E,A9,RUPTURES!F:F)</f>
        <v/>
      </c>
      <c r="C9">
        <f>SUMIF(PERTES!E:E,A9,PERTES!F:F)</f>
        <v/>
      </c>
      <c r="D9">
        <f>IFERROR(VLOOKUP(A9,STOCK_PRODUITS!A:B,2,FALSE),0)</f>
        <v/>
      </c>
      <c r="E9">
        <f>IFERROR(VLOOKUP(A9,STOCK_PRODUITS!A:C,3,FALSE),0)</f>
        <v/>
      </c>
      <c r="F9">
        <f>MAX(B9+C9+E9-D9,0)</f>
        <v/>
      </c>
      <c r="G9">
        <f>IFERROR(VLOOKUP(A9,STOCK_PRODUITS!A:D,4,FALSE),"")</f>
        <v/>
      </c>
      <c r="H9">
        <f>IFERROR(VLOOKUP(A9,STOCK_PRODUITS!A:E,5,FALSE),"")</f>
        <v/>
      </c>
    </row>
    <row r="10">
      <c r="A10" t="inlineStr">
        <is>
          <t>Pommes de terre</t>
        </is>
      </c>
      <c r="B10">
        <f>SUMIF(RUPTURES!E:E,A10,RUPTURES!F:F)</f>
        <v/>
      </c>
      <c r="C10">
        <f>SUMIF(PERTES!E:E,A10,PERTES!F:F)</f>
        <v/>
      </c>
      <c r="D10">
        <f>IFERROR(VLOOKUP(A10,STOCK_PRODUITS!A:B,2,FALSE),0)</f>
        <v/>
      </c>
      <c r="E10">
        <f>IFERROR(VLOOKUP(A10,STOCK_PRODUITS!A:C,3,FALSE),0)</f>
        <v/>
      </c>
      <c r="F10">
        <f>MAX(B10+C10+E10-D10,0)</f>
        <v/>
      </c>
      <c r="G10">
        <f>IFERROR(VLOOKUP(A10,STOCK_PRODUITS!A:D,4,FALSE),"")</f>
        <v/>
      </c>
      <c r="H10">
        <f>IFERROR(VLOOKUP(A10,STOCK_PRODUITS!A:E,5,FALSE),"")</f>
        <v/>
      </c>
    </row>
    <row r="11">
      <c r="A11" t="inlineStr">
        <is>
          <t>Salade verte</t>
        </is>
      </c>
      <c r="B11">
        <f>SUMIF(RUPTURES!E:E,A11,RUPTURES!F:F)</f>
        <v/>
      </c>
      <c r="C11">
        <f>SUMIF(PERTES!E:E,A11,PERTES!F:F)</f>
        <v/>
      </c>
      <c r="D11">
        <f>IFERROR(VLOOKUP(A11,STOCK_PRODUITS!A:B,2,FALSE),0)</f>
        <v/>
      </c>
      <c r="E11">
        <f>IFERROR(VLOOKUP(A11,STOCK_PRODUITS!A:C,3,FALSE),0)</f>
        <v/>
      </c>
      <c r="F11">
        <f>MAX(B11+C11+E11-D11,0)</f>
        <v/>
      </c>
      <c r="G11">
        <f>IFERROR(VLOOKUP(A11,STOCK_PRODUITS!A:D,4,FALSE),"")</f>
        <v/>
      </c>
      <c r="H11">
        <f>IFERROR(VLOOKUP(A11,STOCK_PRODUITS!A:E,5,FALSE),"")</f>
        <v/>
      </c>
    </row>
    <row r="12">
      <c r="A12" t="inlineStr">
        <is>
          <t>Légumes variés</t>
        </is>
      </c>
      <c r="B12">
        <f>SUMIF(RUPTURES!E:E,A12,RUPTURES!F:F)</f>
        <v/>
      </c>
      <c r="C12">
        <f>SUMIF(PERTES!E:E,A12,PERTES!F:F)</f>
        <v/>
      </c>
      <c r="D12">
        <f>IFERROR(VLOOKUP(A12,STOCK_PRODUITS!A:B,2,FALSE),0)</f>
        <v/>
      </c>
      <c r="E12">
        <f>IFERROR(VLOOKUP(A12,STOCK_PRODUITS!A:C,3,FALSE),0)</f>
        <v/>
      </c>
      <c r="F12">
        <f>MAX(B12+C12+E12-D12,0)</f>
        <v/>
      </c>
      <c r="G12">
        <f>IFERROR(VLOOKUP(A12,STOCK_PRODUITS!A:D,4,FALSE),"")</f>
        <v/>
      </c>
      <c r="H12">
        <f>IFERROR(VLOOKUP(A12,STOCK_PRODUITS!A:E,5,FALSE),"")</f>
        <v/>
      </c>
    </row>
    <row r="13">
      <c r="A13" t="inlineStr">
        <is>
          <t>Desserts</t>
        </is>
      </c>
      <c r="B13">
        <f>SUMIF(RUPTURES!E:E,A13,RUPTURES!F:F)</f>
        <v/>
      </c>
      <c r="C13">
        <f>SUMIF(PERTES!E:E,A13,PERTES!F:F)</f>
        <v/>
      </c>
      <c r="D13">
        <f>IFERROR(VLOOKUP(A13,STOCK_PRODUITS!A:B,2,FALSE),0)</f>
        <v/>
      </c>
      <c r="E13">
        <f>IFERROR(VLOOKUP(A13,STOCK_PRODUITS!A:C,3,FALSE),0)</f>
        <v/>
      </c>
      <c r="F13">
        <f>MAX(B13+C13+E13-D13,0)</f>
        <v/>
      </c>
      <c r="G13">
        <f>IFERROR(VLOOKUP(A13,STOCK_PRODUITS!A:D,4,FALSE),"")</f>
        <v/>
      </c>
      <c r="H13">
        <f>IFERROR(VLOOKUP(A13,STOCK_PRODUITS!A:E,5,FALSE),"")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42" customWidth="1" min="5" max="5"/>
    <col width="10" customWidth="1" min="6" max="6"/>
    <col width="10" customWidth="1" min="7" max="7"/>
  </cols>
  <sheetData>
    <row r="1">
      <c r="A1" s="3" t="inlineStr">
        <is>
          <t>Employé</t>
        </is>
      </c>
      <c r="B1" s="3" t="inlineStr">
        <is>
          <t>Jour</t>
        </is>
      </c>
      <c r="C1" s="3" t="inlineStr">
        <is>
          <t>Service</t>
        </is>
      </c>
      <c r="D1" s="3" t="inlineStr">
        <is>
          <t>Catégorie</t>
        </is>
      </c>
      <c r="E1" s="3" t="inlineStr">
        <is>
          <t>Tâche</t>
        </is>
      </c>
      <c r="F1" s="3" t="inlineStr">
        <is>
          <t>Critique</t>
        </is>
      </c>
      <c r="G1" s="3" t="inlineStr">
        <is>
          <t>Actif</t>
        </is>
      </c>
    </row>
    <row r="2">
      <c r="A2" t="inlineStr">
        <is>
          <t>Christelle</t>
        </is>
      </c>
      <c r="B2" t="inlineStr">
        <is>
          <t>Lundi</t>
        </is>
      </c>
      <c r="C2" t="inlineStr">
        <is>
          <t>Midi</t>
        </is>
      </c>
      <c r="D2" t="inlineStr">
        <is>
          <t>MEP</t>
        </is>
      </c>
      <c r="E2" t="inlineStr">
        <is>
          <t>Vérifier stock froid</t>
        </is>
      </c>
      <c r="F2" t="inlineStr">
        <is>
          <t>Oui</t>
        </is>
      </c>
      <c r="G2" t="inlineStr">
        <is>
          <t>Oui</t>
        </is>
      </c>
    </row>
    <row r="3">
      <c r="A3" t="inlineStr">
        <is>
          <t>Christelle</t>
        </is>
      </c>
      <c r="B3" t="inlineStr">
        <is>
          <t>Lundi</t>
        </is>
      </c>
      <c r="C3" t="inlineStr">
        <is>
          <t>Midi</t>
        </is>
      </c>
      <c r="D3" t="inlineStr">
        <is>
          <t>MEP</t>
        </is>
      </c>
      <c r="E3" t="inlineStr">
        <is>
          <t>Préparer accras et entrées froides</t>
        </is>
      </c>
      <c r="F3" t="inlineStr">
        <is>
          <t>Oui</t>
        </is>
      </c>
      <c r="G3" t="inlineStr">
        <is>
          <t>Oui</t>
        </is>
      </c>
    </row>
    <row r="4">
      <c r="A4" t="inlineStr">
        <is>
          <t>Christelle</t>
        </is>
      </c>
      <c r="B4" t="inlineStr">
        <is>
          <t>Mardi</t>
        </is>
      </c>
      <c r="C4" t="inlineStr">
        <is>
          <t>Midi</t>
        </is>
      </c>
      <c r="D4" t="inlineStr">
        <is>
          <t>MEP</t>
        </is>
      </c>
      <c r="E4" t="inlineStr">
        <is>
          <t>Contrôler desserts et salades</t>
        </is>
      </c>
      <c r="F4" t="inlineStr">
        <is>
          <t>Oui</t>
        </is>
      </c>
      <c r="G4" t="inlineStr">
        <is>
          <t>Oui</t>
        </is>
      </c>
    </row>
    <row r="5">
      <c r="A5" t="inlineStr">
        <is>
          <t>Christelle</t>
        </is>
      </c>
      <c r="B5" t="inlineStr">
        <is>
          <t>Mardi</t>
        </is>
      </c>
      <c r="C5" t="inlineStr">
        <is>
          <t>Soir</t>
        </is>
      </c>
      <c r="D5" t="inlineStr">
        <is>
          <t>MEP</t>
        </is>
      </c>
      <c r="E5" t="inlineStr">
        <is>
          <t>Réassort poste froid</t>
        </is>
      </c>
      <c r="F5" t="inlineStr">
        <is>
          <t>Oui</t>
        </is>
      </c>
      <c r="G5" t="inlineStr">
        <is>
          <t>Oui</t>
        </is>
      </c>
    </row>
    <row r="6">
      <c r="A6" t="inlineStr">
        <is>
          <t>Christelle</t>
        </is>
      </c>
      <c r="B6" t="inlineStr">
        <is>
          <t>Mercredi</t>
        </is>
      </c>
      <c r="C6" t="inlineStr">
        <is>
          <t>Midi</t>
        </is>
      </c>
      <c r="D6" t="inlineStr">
        <is>
          <t>Hygiène</t>
        </is>
      </c>
      <c r="E6" t="inlineStr">
        <is>
          <t>Contrôle températures frigos</t>
        </is>
      </c>
      <c r="F6" t="inlineStr">
        <is>
          <t>Oui</t>
        </is>
      </c>
      <c r="G6" t="inlineStr">
        <is>
          <t>Oui</t>
        </is>
      </c>
    </row>
    <row r="7">
      <c r="A7" t="inlineStr">
        <is>
          <t>Christelle</t>
        </is>
      </c>
      <c r="B7" t="inlineStr">
        <is>
          <t>Jeudi</t>
        </is>
      </c>
      <c r="C7" t="inlineStr">
        <is>
          <t>Soir</t>
        </is>
      </c>
      <c r="D7" t="inlineStr">
        <is>
          <t>MEP</t>
        </is>
      </c>
      <c r="E7" t="inlineStr">
        <is>
          <t>Préparer mise en place forte affluence</t>
        </is>
      </c>
      <c r="F7" t="inlineStr">
        <is>
          <t>Oui</t>
        </is>
      </c>
      <c r="G7" t="inlineStr">
        <is>
          <t>Oui</t>
        </is>
      </c>
    </row>
    <row r="8">
      <c r="A8" t="inlineStr">
        <is>
          <t>Christelle</t>
        </is>
      </c>
      <c r="B8" t="inlineStr">
        <is>
          <t>Vendredi</t>
        </is>
      </c>
      <c r="C8" t="inlineStr">
        <is>
          <t>Midi</t>
        </is>
      </c>
      <c r="D8" t="inlineStr">
        <is>
          <t>MEP</t>
        </is>
      </c>
      <c r="E8" t="inlineStr">
        <is>
          <t>Préparer salades et desserts</t>
        </is>
      </c>
      <c r="F8" t="inlineStr">
        <is>
          <t>Oui</t>
        </is>
      </c>
      <c r="G8" t="inlineStr">
        <is>
          <t>Oui</t>
        </is>
      </c>
    </row>
    <row r="9">
      <c r="A9" t="inlineStr">
        <is>
          <t>Christelle</t>
        </is>
      </c>
      <c r="B9" t="inlineStr">
        <is>
          <t>Vendredi</t>
        </is>
      </c>
      <c r="C9" t="inlineStr">
        <is>
          <t>Soir</t>
        </is>
      </c>
      <c r="D9" t="inlineStr">
        <is>
          <t>MEP</t>
        </is>
      </c>
      <c r="E9" t="inlineStr">
        <is>
          <t>Contrôler entrées, desserts et réassort</t>
        </is>
      </c>
      <c r="F9" t="inlineStr">
        <is>
          <t>Oui</t>
        </is>
      </c>
      <c r="G9" t="inlineStr">
        <is>
          <t>Oui</t>
        </is>
      </c>
    </row>
    <row r="10">
      <c r="A10" t="inlineStr">
        <is>
          <t>Christelle</t>
        </is>
      </c>
      <c r="B10" t="inlineStr">
        <is>
          <t>Samedi</t>
        </is>
      </c>
      <c r="C10" t="inlineStr">
        <is>
          <t>Soir</t>
        </is>
      </c>
      <c r="D10" t="inlineStr">
        <is>
          <t>MEP</t>
        </is>
      </c>
      <c r="E10" t="inlineStr">
        <is>
          <t>Préparer production maximale poste froid</t>
        </is>
      </c>
      <c r="F10" t="inlineStr">
        <is>
          <t>Oui</t>
        </is>
      </c>
      <c r="G10" t="inlineStr">
        <is>
          <t>Oui</t>
        </is>
      </c>
    </row>
    <row r="11">
      <c r="A11" t="inlineStr">
        <is>
          <t>Christelle</t>
        </is>
      </c>
      <c r="B11" t="inlineStr">
        <is>
          <t>Dimanche</t>
        </is>
      </c>
      <c r="C11" t="inlineStr">
        <is>
          <t>Midi</t>
        </is>
      </c>
      <c r="D11" t="inlineStr">
        <is>
          <t>MEP</t>
        </is>
      </c>
      <c r="E11" t="inlineStr">
        <is>
          <t>Optimiser écoulement produits frais</t>
        </is>
      </c>
      <c r="F11" t="inlineStr">
        <is>
          <t>Oui</t>
        </is>
      </c>
      <c r="G11" t="inlineStr">
        <is>
          <t>Oui</t>
        </is>
      </c>
    </row>
    <row r="12">
      <c r="A12" t="inlineStr">
        <is>
          <t>Ludovic</t>
        </is>
      </c>
      <c r="B12" t="inlineStr">
        <is>
          <t>Lundi</t>
        </is>
      </c>
      <c r="C12" t="inlineStr">
        <is>
          <t>Midi</t>
        </is>
      </c>
      <c r="D12" t="inlineStr">
        <is>
          <t>MEP</t>
        </is>
      </c>
      <c r="E12" t="inlineStr">
        <is>
          <t>Contrôler viandes et poissons du jour</t>
        </is>
      </c>
      <c r="F12" t="inlineStr">
        <is>
          <t>Oui</t>
        </is>
      </c>
      <c r="G12" t="inlineStr">
        <is>
          <t>Oui</t>
        </is>
      </c>
    </row>
    <row r="13">
      <c r="A13" t="inlineStr">
        <is>
          <t>Ludovic</t>
        </is>
      </c>
      <c r="B13" t="inlineStr">
        <is>
          <t>Mardi</t>
        </is>
      </c>
      <c r="C13" t="inlineStr">
        <is>
          <t>Midi</t>
        </is>
      </c>
      <c r="D13" t="inlineStr">
        <is>
          <t>MEP</t>
        </is>
      </c>
      <c r="E13" t="inlineStr">
        <is>
          <t>Préparer poste chaud</t>
        </is>
      </c>
      <c r="F13" t="inlineStr">
        <is>
          <t>Oui</t>
        </is>
      </c>
      <c r="G13" t="inlineStr">
        <is>
          <t>Oui</t>
        </is>
      </c>
    </row>
    <row r="14">
      <c r="A14" t="inlineStr">
        <is>
          <t>Ludovic</t>
        </is>
      </c>
      <c r="B14" t="inlineStr">
        <is>
          <t>Mardi</t>
        </is>
      </c>
      <c r="C14" t="inlineStr">
        <is>
          <t>Soir</t>
        </is>
      </c>
      <c r="D14" t="inlineStr">
        <is>
          <t>MEP</t>
        </is>
      </c>
      <c r="E14" t="inlineStr">
        <is>
          <t>Vérifier grill, plancha et cuissons</t>
        </is>
      </c>
      <c r="F14" t="inlineStr">
        <is>
          <t>Oui</t>
        </is>
      </c>
      <c r="G14" t="inlineStr">
        <is>
          <t>Oui</t>
        </is>
      </c>
    </row>
    <row r="15">
      <c r="A15" t="inlineStr">
        <is>
          <t>Ludovic</t>
        </is>
      </c>
      <c r="B15" t="inlineStr">
        <is>
          <t>Mercredi</t>
        </is>
      </c>
      <c r="C15" t="inlineStr">
        <is>
          <t>Soir</t>
        </is>
      </c>
      <c r="D15" t="inlineStr">
        <is>
          <t>MEP</t>
        </is>
      </c>
      <c r="E15" t="inlineStr">
        <is>
          <t>Anticiper affluence jeudi</t>
        </is>
      </c>
      <c r="F15" t="inlineStr">
        <is>
          <t>Oui</t>
        </is>
      </c>
      <c r="G15" t="inlineStr">
        <is>
          <t>Oui</t>
        </is>
      </c>
    </row>
    <row r="16">
      <c r="A16" t="inlineStr">
        <is>
          <t>Ludovic</t>
        </is>
      </c>
      <c r="B16" t="inlineStr">
        <is>
          <t>Jeudi</t>
        </is>
      </c>
      <c r="C16" t="inlineStr">
        <is>
          <t>Soir</t>
        </is>
      </c>
      <c r="D16" t="inlineStr">
        <is>
          <t>MEP</t>
        </is>
      </c>
      <c r="E16" t="inlineStr">
        <is>
          <t>Préparer viandes et poisson forte affluence</t>
        </is>
      </c>
      <c r="F16" t="inlineStr">
        <is>
          <t>Oui</t>
        </is>
      </c>
      <c r="G16" t="inlineStr">
        <is>
          <t>Oui</t>
        </is>
      </c>
    </row>
    <row r="17">
      <c r="A17" t="inlineStr">
        <is>
          <t>Ludovic</t>
        </is>
      </c>
      <c r="B17" t="inlineStr">
        <is>
          <t>Vendredi</t>
        </is>
      </c>
      <c r="C17" t="inlineStr">
        <is>
          <t>Midi</t>
        </is>
      </c>
      <c r="D17" t="inlineStr">
        <is>
          <t>MEP</t>
        </is>
      </c>
      <c r="E17" t="inlineStr">
        <is>
          <t>Portionner et lancer cuissons préparatoires</t>
        </is>
      </c>
      <c r="F17" t="inlineStr">
        <is>
          <t>Oui</t>
        </is>
      </c>
      <c r="G17" t="inlineStr">
        <is>
          <t>Oui</t>
        </is>
      </c>
    </row>
    <row r="18">
      <c r="A18" t="inlineStr">
        <is>
          <t>Ludovic</t>
        </is>
      </c>
      <c r="B18" t="inlineStr">
        <is>
          <t>Vendredi</t>
        </is>
      </c>
      <c r="C18" t="inlineStr">
        <is>
          <t>Soir</t>
        </is>
      </c>
      <c r="D18" t="inlineStr">
        <is>
          <t>MEP</t>
        </is>
      </c>
      <c r="E18" t="inlineStr">
        <is>
          <t>Sécuriser poste chaud et envoi</t>
        </is>
      </c>
      <c r="F18" t="inlineStr">
        <is>
          <t>Oui</t>
        </is>
      </c>
      <c r="G18" t="inlineStr">
        <is>
          <t>Oui</t>
        </is>
      </c>
    </row>
    <row r="19">
      <c r="A19" t="inlineStr">
        <is>
          <t>Ludovic</t>
        </is>
      </c>
      <c r="B19" t="inlineStr">
        <is>
          <t>Samedi</t>
        </is>
      </c>
      <c r="C19" t="inlineStr">
        <is>
          <t>Soir</t>
        </is>
      </c>
      <c r="D19" t="inlineStr">
        <is>
          <t>MEP</t>
        </is>
      </c>
      <c r="E19" t="inlineStr">
        <is>
          <t>Piloter la production service fort</t>
        </is>
      </c>
      <c r="F19" t="inlineStr">
        <is>
          <t>Oui</t>
        </is>
      </c>
      <c r="G19" t="inlineStr">
        <is>
          <t>Oui</t>
        </is>
      </c>
    </row>
    <row r="20">
      <c r="A20" t="inlineStr">
        <is>
          <t>Ludovic</t>
        </is>
      </c>
      <c r="B20" t="inlineStr">
        <is>
          <t>Dimanche</t>
        </is>
      </c>
      <c r="C20" t="inlineStr">
        <is>
          <t>Midi</t>
        </is>
      </c>
      <c r="D20" t="inlineStr">
        <is>
          <t>MEP</t>
        </is>
      </c>
      <c r="E20" t="inlineStr">
        <is>
          <t>Ajuster cuisson selon stock restant</t>
        </is>
      </c>
      <c r="F20" t="inlineStr">
        <is>
          <t>Oui</t>
        </is>
      </c>
      <c r="G20" t="inlineStr">
        <is>
          <t>Oui</t>
        </is>
      </c>
    </row>
    <row r="21">
      <c r="A21" t="inlineStr">
        <is>
          <t>Lesli</t>
        </is>
      </c>
      <c r="B21" t="inlineStr">
        <is>
          <t>Jeudi</t>
        </is>
      </c>
      <c r="C21" t="inlineStr">
        <is>
          <t>Soir</t>
        </is>
      </c>
      <c r="D21" t="inlineStr">
        <is>
          <t>Nettoyage</t>
        </is>
      </c>
      <c r="E21" t="inlineStr">
        <is>
          <t>Préparer plonge et produits de nettoyage</t>
        </is>
      </c>
      <c r="F21" t="inlineStr">
        <is>
          <t>Oui</t>
        </is>
      </c>
      <c r="G21" t="inlineStr">
        <is>
          <t>Oui</t>
        </is>
      </c>
    </row>
    <row r="22">
      <c r="A22" t="inlineStr">
        <is>
          <t>Lesli</t>
        </is>
      </c>
      <c r="B22" t="inlineStr">
        <is>
          <t>Vendredi</t>
        </is>
      </c>
      <c r="C22" t="inlineStr">
        <is>
          <t>Midi</t>
        </is>
      </c>
      <c r="D22" t="inlineStr">
        <is>
          <t>Nettoyage</t>
        </is>
      </c>
      <c r="E22" t="inlineStr">
        <is>
          <t>Préparer plonge et poubelles</t>
        </is>
      </c>
      <c r="F22" t="inlineStr">
        <is>
          <t>Oui</t>
        </is>
      </c>
      <c r="G22" t="inlineStr">
        <is>
          <t>Oui</t>
        </is>
      </c>
    </row>
    <row r="23">
      <c r="A23" t="inlineStr">
        <is>
          <t>Lesli</t>
        </is>
      </c>
      <c r="B23" t="inlineStr">
        <is>
          <t>Vendredi</t>
        </is>
      </c>
      <c r="C23" t="inlineStr">
        <is>
          <t>Soir</t>
        </is>
      </c>
      <c r="D23" t="inlineStr">
        <is>
          <t>Support</t>
        </is>
      </c>
      <c r="E23" t="inlineStr">
        <is>
          <t>Renfort plonge et remise au propre</t>
        </is>
      </c>
      <c r="F23" t="inlineStr">
        <is>
          <t>Oui</t>
        </is>
      </c>
      <c r="G23" t="inlineStr">
        <is>
          <t>Oui</t>
        </is>
      </c>
    </row>
    <row r="24">
      <c r="A24" t="inlineStr">
        <is>
          <t>Lesli</t>
        </is>
      </c>
      <c r="B24" t="inlineStr">
        <is>
          <t>Samedi</t>
        </is>
      </c>
      <c r="C24" t="inlineStr">
        <is>
          <t>Soir</t>
        </is>
      </c>
      <c r="D24" t="inlineStr">
        <is>
          <t>Support</t>
        </is>
      </c>
      <c r="E24" t="inlineStr">
        <is>
          <t>Renfort rush, plonge et nettoyage</t>
        </is>
      </c>
      <c r="F24" t="inlineStr">
        <is>
          <t>Oui</t>
        </is>
      </c>
      <c r="G24" t="inlineStr">
        <is>
          <t>Oui</t>
        </is>
      </c>
    </row>
    <row r="25">
      <c r="A25" t="inlineStr">
        <is>
          <t>Lesli</t>
        </is>
      </c>
      <c r="B25" t="inlineStr">
        <is>
          <t>Dimanche</t>
        </is>
      </c>
      <c r="C25" t="inlineStr">
        <is>
          <t>Midi</t>
        </is>
      </c>
      <c r="D25" t="inlineStr">
        <is>
          <t>Nettoyage</t>
        </is>
      </c>
      <c r="E25" t="inlineStr">
        <is>
          <t>Nettoyage fin de service</t>
        </is>
      </c>
      <c r="F25" t="inlineStr">
        <is>
          <t>Oui</t>
        </is>
      </c>
      <c r="G25" t="inlineStr">
        <is>
          <t>Oui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4" max="4"/>
  </cols>
  <sheetData>
    <row r="1">
      <c r="A1" s="3" t="inlineStr">
        <is>
          <t>Indicateur</t>
        </is>
      </c>
      <c r="B1" s="3" t="inlineStr">
        <is>
          <t>Valeur</t>
        </is>
      </c>
      <c r="D1" s="5" t="inlineStr">
        <is>
          <t>Notes admin</t>
        </is>
      </c>
    </row>
    <row r="2">
      <c r="A2" t="inlineStr">
        <is>
          <t>Total validations</t>
        </is>
      </c>
      <c r="B2">
        <f>COUNTA(VALIDATIONS!A:A)-1</f>
        <v/>
      </c>
      <c r="D2" t="inlineStr">
        <is>
          <t>Renseigner les stocks actuels dans STOCK_PRODUITS.</t>
        </is>
      </c>
    </row>
    <row r="3">
      <c r="A3" t="inlineStr">
        <is>
          <t>Total ruptures</t>
        </is>
      </c>
      <c r="B3">
        <f>COUNTA(RUPTURES!A:A)-1</f>
        <v/>
      </c>
      <c r="D3" t="inlineStr">
        <is>
          <t>Contrôler COMMANDE_AUTO chaque mardi et jeudi.</t>
        </is>
      </c>
    </row>
    <row r="4">
      <c r="A4" t="inlineStr">
        <is>
          <t>Total pertes</t>
        </is>
      </c>
      <c r="B4">
        <f>COUNTA(PERTES!A:A)-1</f>
        <v/>
      </c>
      <c r="D4" t="inlineStr">
        <is>
          <t>Les photos sont stockées sous forme de lien ou nom de fichier.</t>
        </is>
      </c>
    </row>
    <row r="5">
      <c r="A5" t="inlineStr">
        <is>
          <t>Produits à commander</t>
        </is>
      </c>
      <c r="B5">
        <f>COUNTIF(COMMANDE_AUTO!F:F,"&gt;0")</f>
        <v/>
      </c>
    </row>
    <row r="6">
      <c r="A6" t="inlineStr">
        <is>
          <t>Dernière validation</t>
        </is>
      </c>
      <c r="B6">
        <f>IFERROR(LOOKUP(2,1/(VALIDATIONS!A:A&lt;&gt;""),VALIDATIONS!A:A),"")</f>
        <v/>
      </c>
    </row>
    <row r="7">
      <c r="A7" t="inlineStr">
        <is>
          <t>Dernière rupture</t>
        </is>
      </c>
      <c r="B7">
        <f>IFERROR(LOOKUP(2,1/(RUPTURES!A:A&lt;&gt;""),RUPTURES!A:A),"")</f>
        <v/>
      </c>
    </row>
    <row r="8">
      <c r="A8" t="inlineStr">
        <is>
          <t>Dernière perte</t>
        </is>
      </c>
      <c r="B8">
        <f>IFERROR(LOOKUP(2,1/(PERTES!A:A&lt;&gt;""),PERTES!A:A),"")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24" customWidth="1" min="6" max="6"/>
    <col width="34" customWidth="1" min="7" max="7"/>
    <col width="34" customWidth="1" min="8" max="8"/>
  </cols>
  <sheetData>
    <row r="1">
      <c r="A1" s="3" t="inlineStr">
        <is>
          <t>Horodatage</t>
        </is>
      </c>
      <c r="B1" s="3" t="inlineStr">
        <is>
          <t>Type</t>
        </is>
      </c>
      <c r="C1" s="3" t="inlineStr">
        <is>
          <t>Employé</t>
        </is>
      </c>
      <c r="D1" s="3" t="inlineStr">
        <is>
          <t>Date</t>
        </is>
      </c>
      <c r="E1" s="3" t="inlineStr">
        <is>
          <t>Service</t>
        </is>
      </c>
      <c r="F1" s="3" t="inlineStr">
        <is>
          <t>Produit / objet</t>
        </is>
      </c>
      <c r="G1" s="3" t="inlineStr">
        <is>
          <t>Lien / nom fichier</t>
        </is>
      </c>
      <c r="H1" s="3" t="inlineStr">
        <is>
          <t>Commentaire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2026-03-29T19:10:54Z</dcterms:created>
  <dcterms:modified xmlns:dcterms="http://purl.org/dc/terms/" xmlns:xsi="http://www.w3.org/2001/XMLSchema-instance" xsi:type="dcterms:W3CDTF">2026-03-29T19:16:19Z</dcterms:modified>
</cp:coreProperties>
</file>